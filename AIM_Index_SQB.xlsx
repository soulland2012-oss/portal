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AIM Index" sheetId="1" state="visible" r:id="rId1"/>
    <sheet name="AIM Index Prev" sheetId="2" state="visible" r:id="rId2"/>
    <sheet name="Методология" sheetId="3" state="visible" r:id="rId3"/>
    <sheet name="Порядок расчёта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"/>
  </numFmts>
  <fonts count="2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16"/>
    </font>
    <font>
      <name val="Arial"/>
      <charset val="1"/>
      <family val="0"/>
      <i val="1"/>
      <color rgb="FF595959"/>
      <sz val="10"/>
    </font>
    <font>
      <name val="Arial"/>
      <charset val="1"/>
      <family val="0"/>
      <i val="1"/>
      <color rgb="FFC00000"/>
      <sz val="9"/>
    </font>
    <font>
      <name val="Arial"/>
      <charset val="1"/>
      <family val="0"/>
      <i val="1"/>
      <color rgb="FF7F6000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FFFFFF"/>
      <sz val="8"/>
    </font>
    <font>
      <name val="Arial"/>
      <charset val="1"/>
      <family val="0"/>
      <color rgb="FF1F3864"/>
      <sz val="8"/>
    </font>
    <font>
      <name val="Arial"/>
      <charset val="1"/>
      <family val="0"/>
      <b val="1"/>
      <color rgb="FF7F6000"/>
      <sz val="9"/>
    </font>
    <font>
      <name val="Arial"/>
      <charset val="1"/>
      <family val="0"/>
      <sz val="10"/>
    </font>
    <font>
      <name val="Arial"/>
      <charset val="1"/>
      <family val="0"/>
      <color rgb="FF0000FF"/>
      <sz val="9"/>
    </font>
    <font>
      <name val="Arial"/>
      <charset val="1"/>
      <family val="0"/>
      <b val="1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7F6000"/>
      <sz val="10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color rgb="FF1F3864"/>
      <sz val="12"/>
    </font>
  </fonts>
  <fills count="8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496"/>
        <bgColor rgb="FF1F3864"/>
      </patternFill>
    </fill>
    <fill>
      <patternFill patternType="solid">
        <fgColor rgb="FFD6E0F0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FBFCFE"/>
        <bgColor rgb="FFFFFFFF"/>
      </patternFill>
    </fill>
    <fill>
      <patternFill patternType="solid">
        <fgColor rgb="FFF2F2F2"/>
        <bgColor rgb="FFFBFCFE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8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center" vertical="center"/>
    </xf>
    <xf numFmtId="0" fontId="8" fillId="2" borderId="2" applyAlignment="1" pivotButton="0" quotePrefix="0" xfId="0">
      <alignment horizontal="center" vertical="center" wrapText="1"/>
    </xf>
    <xf numFmtId="0" fontId="9" fillId="2" borderId="2" applyAlignment="1" pivotButton="0" quotePrefix="0" xfId="0">
      <alignment horizontal="center" vertical="center" wrapText="1"/>
    </xf>
    <xf numFmtId="0" fontId="10" fillId="3" borderId="2" applyAlignment="1" pivotButton="0" quotePrefix="0" xfId="0">
      <alignment horizontal="center" vertical="center" textRotation="90" wrapText="1"/>
    </xf>
    <xf numFmtId="0" fontId="11" fillId="4" borderId="2" applyAlignment="1" pivotButton="0" quotePrefix="0" xfId="0">
      <alignment horizontal="center" vertical="center" wrapText="1"/>
    </xf>
    <xf numFmtId="9" fontId="12" fillId="5" borderId="2" applyAlignment="1" pivotButton="0" quotePrefix="0" xfId="0">
      <alignment horizontal="center" vertical="center" wrapText="1"/>
    </xf>
    <xf numFmtId="9" fontId="9" fillId="2" borderId="2" applyAlignment="1" pivotButton="0" quotePrefix="0" xfId="0">
      <alignment horizontal="center" vertical="center" wrapText="1"/>
    </xf>
    <xf numFmtId="0" fontId="13" fillId="0" borderId="2" applyAlignment="1" pivotButton="0" quotePrefix="0" xfId="0">
      <alignment horizontal="center" vertical="bottom"/>
    </xf>
    <xf numFmtId="0" fontId="13" fillId="0" borderId="2" applyAlignment="1" pivotButton="0" quotePrefix="0" xfId="0">
      <alignment horizontal="left" vertical="center" wrapText="1"/>
    </xf>
    <xf numFmtId="164" fontId="14" fillId="6" borderId="2" applyAlignment="1" pivotButton="0" quotePrefix="0" xfId="0">
      <alignment horizontal="center" vertical="bottom"/>
    </xf>
    <xf numFmtId="164" fontId="15" fillId="0" borderId="2" applyAlignment="1" pivotButton="0" quotePrefix="0" xfId="0">
      <alignment horizontal="center" vertical="bottom"/>
    </xf>
    <xf numFmtId="0" fontId="13" fillId="7" borderId="2" applyAlignment="1" pivotButton="0" quotePrefix="0" xfId="0">
      <alignment horizontal="center" vertical="bottom"/>
    </xf>
    <xf numFmtId="0" fontId="13" fillId="7" borderId="2" applyAlignment="1" pivotButton="0" quotePrefix="0" xfId="0">
      <alignment horizontal="left" vertical="center" wrapText="1"/>
    </xf>
    <xf numFmtId="164" fontId="14" fillId="7" borderId="2" applyAlignment="1" pivotButton="0" quotePrefix="0" xfId="0">
      <alignment horizontal="center" vertical="bottom"/>
    </xf>
    <xf numFmtId="164" fontId="15" fillId="7" borderId="2" applyAlignment="1" pivotButton="0" quotePrefix="0" xfId="0">
      <alignment horizontal="center" vertical="bottom"/>
    </xf>
    <xf numFmtId="0" fontId="0" fillId="3" borderId="2" applyAlignment="1" pivotButton="0" quotePrefix="0" xfId="0">
      <alignment horizontal="general" vertical="bottom"/>
    </xf>
    <xf numFmtId="0" fontId="8" fillId="3" borderId="2" applyAlignment="1" pivotButton="0" quotePrefix="0" xfId="0">
      <alignment horizontal="right" vertical="bottom"/>
    </xf>
    <xf numFmtId="164" fontId="9" fillId="3" borderId="2" applyAlignment="1" pivotButton="0" quotePrefix="0" xfId="0">
      <alignment horizontal="center" vertical="bottom"/>
    </xf>
    <xf numFmtId="164" fontId="16" fillId="2" borderId="2" applyAlignment="1" pivotButton="0" quotePrefix="0" xfId="0">
      <alignment horizontal="center" vertical="bottom"/>
    </xf>
    <xf numFmtId="0" fontId="13" fillId="0" borderId="0" applyAlignment="1" pivotButton="0" quotePrefix="0" xfId="0">
      <alignment horizontal="general" vertical="top" wrapText="1"/>
    </xf>
    <xf numFmtId="0" fontId="15" fillId="0" borderId="2" applyAlignment="1" pivotButton="0" quotePrefix="0" xfId="0">
      <alignment horizontal="center" vertical="top" wrapText="1"/>
    </xf>
    <xf numFmtId="0" fontId="13" fillId="0" borderId="2" applyAlignment="1" pivotButton="0" quotePrefix="0" xfId="0">
      <alignment horizontal="left" vertical="top" wrapText="1"/>
    </xf>
    <xf numFmtId="0" fontId="13" fillId="0" borderId="2" applyAlignment="1" pivotButton="0" quotePrefix="0" xfId="0">
      <alignment horizontal="center" vertical="top" wrapText="1"/>
    </xf>
    <xf numFmtId="9" fontId="17" fillId="5" borderId="2" applyAlignment="1" pivotButton="0" quotePrefix="0" xfId="0">
      <alignment horizontal="center" vertical="bottom"/>
    </xf>
    <xf numFmtId="0" fontId="15" fillId="7" borderId="2" applyAlignment="1" pivotButton="0" quotePrefix="0" xfId="0">
      <alignment horizontal="center" vertical="top" wrapText="1"/>
    </xf>
    <xf numFmtId="0" fontId="13" fillId="7" borderId="2" applyAlignment="1" pivotButton="0" quotePrefix="0" xfId="0">
      <alignment horizontal="left" vertical="top" wrapText="1"/>
    </xf>
    <xf numFmtId="0" fontId="13" fillId="7" borderId="2" applyAlignment="1" pivotButton="0" quotePrefix="0" xfId="0">
      <alignment horizontal="center" vertical="top" wrapText="1"/>
    </xf>
    <xf numFmtId="9" fontId="16" fillId="2" borderId="2" applyAlignment="1" pivotButton="0" quotePrefix="0" xfId="0">
      <alignment horizontal="center" vertical="bottom"/>
    </xf>
    <xf numFmtId="0" fontId="18" fillId="0" borderId="0" applyAlignment="1" pivotButton="0" quotePrefix="0" xfId="0">
      <alignment horizontal="general" vertical="top" wrapText="1"/>
    </xf>
    <xf numFmtId="0" fontId="8" fillId="2" borderId="2" applyAlignment="1" pivotButton="0" quotePrefix="0" xfId="0">
      <alignment horizontal="center" vertical="center"/>
    </xf>
    <xf numFmtId="0" fontId="15" fillId="0" borderId="2" applyAlignment="1" pivotButton="0" quotePrefix="0" xfId="0">
      <alignment horizontal="left" vertical="top" wrapText="1"/>
    </xf>
    <xf numFmtId="0" fontId="15" fillId="7" borderId="2" applyAlignment="1" pivotButton="0" quotePrefix="0" xfId="0">
      <alignment horizontal="left" vertical="top" wrapText="1"/>
    </xf>
    <xf numFmtId="0" fontId="19" fillId="0" borderId="0" applyAlignment="1" pivotButton="0" quotePrefix="0" xfId="0">
      <alignment horizontal="general" vertical="bottom"/>
    </xf>
    <xf numFmtId="0" fontId="8" fillId="3" borderId="2" applyAlignment="1" pivotButton="0" quotePrefix="0" xfId="0">
      <alignment horizontal="center" vertical="center"/>
    </xf>
    <xf numFmtId="0" fontId="15" fillId="0" borderId="2" applyAlignment="1" pivotButton="0" quotePrefix="0" xfId="0">
      <alignment horizontal="general" vertical="top" wrapText="1"/>
    </xf>
    <xf numFmtId="0" fontId="13" fillId="0" borderId="2" applyAlignment="1" pivotButton="0" quotePrefix="0" xfId="0">
      <alignment horizontal="general" vertical="top" wrapText="1"/>
    </xf>
    <xf numFmtId="0" fontId="15" fillId="7" borderId="2" applyAlignment="1" pivotButton="0" quotePrefix="0" xfId="0">
      <alignment horizontal="general" vertical="top" wrapText="1"/>
    </xf>
    <xf numFmtId="0" fontId="13" fillId="7" borderId="2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center" vertical="center"/>
    </xf>
    <xf numFmtId="0" fontId="8" fillId="2" borderId="2" applyAlignment="1" pivotButton="0" quotePrefix="0" xfId="0">
      <alignment horizontal="center" vertical="center" wrapText="1"/>
    </xf>
    <xf numFmtId="0" fontId="9" fillId="2" borderId="2" applyAlignment="1" pivotButton="0" quotePrefix="0" xfId="0">
      <alignment horizontal="center" vertical="center" wrapText="1"/>
    </xf>
    <xf numFmtId="0" fontId="0" fillId="0" borderId="4" pivotButton="0" quotePrefix="0" xfId="0"/>
    <xf numFmtId="0" fontId="10" fillId="3" borderId="2" applyAlignment="1" pivotButton="0" quotePrefix="0" xfId="0">
      <alignment horizontal="center" vertical="center" textRotation="90" wrapText="1"/>
    </xf>
    <xf numFmtId="0" fontId="11" fillId="4" borderId="2" applyAlignment="1" pivotButton="0" quotePrefix="0" xfId="0">
      <alignment horizontal="center" vertical="center" wrapText="1"/>
    </xf>
    <xf numFmtId="9" fontId="12" fillId="5" borderId="2" applyAlignment="1" pivotButton="0" quotePrefix="0" xfId="0">
      <alignment horizontal="center" vertical="center" wrapText="1"/>
    </xf>
    <xf numFmtId="9" fontId="9" fillId="2" borderId="2" applyAlignment="1" pivotButton="0" quotePrefix="0" xfId="0">
      <alignment horizontal="center" vertical="center" wrapText="1"/>
    </xf>
    <xf numFmtId="0" fontId="13" fillId="0" borderId="2" applyAlignment="1" pivotButton="0" quotePrefix="0" xfId="0">
      <alignment horizontal="center" vertical="bottom"/>
    </xf>
    <xf numFmtId="0" fontId="13" fillId="0" borderId="2" applyAlignment="1" pivotButton="0" quotePrefix="0" xfId="0">
      <alignment horizontal="left" vertical="center" wrapText="1"/>
    </xf>
    <xf numFmtId="164" fontId="14" fillId="6" borderId="2" applyAlignment="1" pivotButton="0" quotePrefix="0" xfId="0">
      <alignment horizontal="center" vertical="bottom"/>
    </xf>
    <xf numFmtId="164" fontId="15" fillId="0" borderId="2" applyAlignment="1" pivotButton="0" quotePrefix="0" xfId="0">
      <alignment horizontal="center" vertical="bottom"/>
    </xf>
    <xf numFmtId="0" fontId="13" fillId="7" borderId="2" applyAlignment="1" pivotButton="0" quotePrefix="0" xfId="0">
      <alignment horizontal="center" vertical="bottom"/>
    </xf>
    <xf numFmtId="0" fontId="13" fillId="7" borderId="2" applyAlignment="1" pivotButton="0" quotePrefix="0" xfId="0">
      <alignment horizontal="left" vertical="center" wrapText="1"/>
    </xf>
    <xf numFmtId="164" fontId="14" fillId="7" borderId="2" applyAlignment="1" pivotButton="0" quotePrefix="0" xfId="0">
      <alignment horizontal="center" vertical="bottom"/>
    </xf>
    <xf numFmtId="164" fontId="15" fillId="7" borderId="2" applyAlignment="1" pivotButton="0" quotePrefix="0" xfId="0">
      <alignment horizontal="center" vertical="bottom"/>
    </xf>
    <xf numFmtId="0" fontId="0" fillId="3" borderId="2" applyAlignment="1" pivotButton="0" quotePrefix="0" xfId="0">
      <alignment horizontal="general" vertical="bottom"/>
    </xf>
    <xf numFmtId="0" fontId="8" fillId="3" borderId="2" applyAlignment="1" pivotButton="0" quotePrefix="0" xfId="0">
      <alignment horizontal="right" vertical="bottom"/>
    </xf>
    <xf numFmtId="164" fontId="9" fillId="3" borderId="2" applyAlignment="1" pivotButton="0" quotePrefix="0" xfId="0">
      <alignment horizontal="center" vertical="bottom"/>
    </xf>
    <xf numFmtId="164" fontId="16" fillId="2" borderId="2" applyAlignment="1" pivotButton="0" quotePrefix="0" xfId="0">
      <alignment horizontal="center" vertical="bottom"/>
    </xf>
    <xf numFmtId="0" fontId="13" fillId="0" borderId="0" applyAlignment="1" pivotButton="0" quotePrefix="0" xfId="0">
      <alignment horizontal="general" vertical="top" wrapText="1"/>
    </xf>
    <xf numFmtId="0" fontId="15" fillId="0" borderId="2" applyAlignment="1" pivotButton="0" quotePrefix="0" xfId="0">
      <alignment horizontal="center" vertical="top" wrapText="1"/>
    </xf>
    <xf numFmtId="0" fontId="13" fillId="0" borderId="2" applyAlignment="1" pivotButton="0" quotePrefix="0" xfId="0">
      <alignment horizontal="left" vertical="top" wrapText="1"/>
    </xf>
    <xf numFmtId="0" fontId="13" fillId="0" borderId="2" applyAlignment="1" pivotButton="0" quotePrefix="0" xfId="0">
      <alignment horizontal="center" vertical="top" wrapText="1"/>
    </xf>
    <xf numFmtId="9" fontId="17" fillId="5" borderId="2" applyAlignment="1" pivotButton="0" quotePrefix="0" xfId="0">
      <alignment horizontal="center" vertical="bottom"/>
    </xf>
    <xf numFmtId="0" fontId="15" fillId="7" borderId="2" applyAlignment="1" pivotButton="0" quotePrefix="0" xfId="0">
      <alignment horizontal="center" vertical="top" wrapText="1"/>
    </xf>
    <xf numFmtId="0" fontId="13" fillId="7" borderId="2" applyAlignment="1" pivotButton="0" quotePrefix="0" xfId="0">
      <alignment horizontal="left" vertical="top" wrapText="1"/>
    </xf>
    <xf numFmtId="0" fontId="13" fillId="7" borderId="2" applyAlignment="1" pivotButton="0" quotePrefix="0" xfId="0">
      <alignment horizontal="center" vertical="top" wrapText="1"/>
    </xf>
    <xf numFmtId="9" fontId="16" fillId="2" borderId="2" applyAlignment="1" pivotButton="0" quotePrefix="0" xfId="0">
      <alignment horizontal="center" vertical="bottom"/>
    </xf>
    <xf numFmtId="0" fontId="18" fillId="0" borderId="0" applyAlignment="1" pivotButton="0" quotePrefix="0" xfId="0">
      <alignment horizontal="general" vertical="top" wrapText="1"/>
    </xf>
    <xf numFmtId="0" fontId="8" fillId="2" borderId="2" applyAlignment="1" pivotButton="0" quotePrefix="0" xfId="0">
      <alignment horizontal="center" vertical="center"/>
    </xf>
    <xf numFmtId="0" fontId="15" fillId="0" borderId="2" applyAlignment="1" pivotButton="0" quotePrefix="0" xfId="0">
      <alignment horizontal="left" vertical="top" wrapText="1"/>
    </xf>
    <xf numFmtId="0" fontId="15" fillId="7" borderId="2" applyAlignment="1" pivotButton="0" quotePrefix="0" xfId="0">
      <alignment horizontal="left" vertical="top" wrapText="1"/>
    </xf>
    <xf numFmtId="0" fontId="19" fillId="0" borderId="0" applyAlignment="1" pivotButton="0" quotePrefix="0" xfId="0">
      <alignment horizontal="general" vertical="bottom"/>
    </xf>
    <xf numFmtId="0" fontId="8" fillId="3" borderId="2" applyAlignment="1" pivotButton="0" quotePrefix="0" xfId="0">
      <alignment horizontal="center" vertical="center"/>
    </xf>
    <xf numFmtId="0" fontId="15" fillId="0" borderId="2" applyAlignment="1" pivotButton="0" quotePrefix="0" xfId="0">
      <alignment horizontal="general" vertical="top" wrapText="1"/>
    </xf>
    <xf numFmtId="0" fontId="13" fillId="0" borderId="2" applyAlignment="1" pivotButton="0" quotePrefix="0" xfId="0">
      <alignment horizontal="general" vertical="top" wrapText="1"/>
    </xf>
    <xf numFmtId="0" fontId="15" fillId="7" borderId="2" applyAlignment="1" pivotButton="0" quotePrefix="0" xfId="0">
      <alignment horizontal="general" vertical="top" wrapText="1"/>
    </xf>
    <xf numFmtId="0" fontId="13" fillId="7" borderId="2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6E0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BFCFE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S49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baseColWidth="8" defaultColWidth="8.6796875" defaultRowHeight="15" zeroHeight="0" outlineLevelRow="0"/>
  <cols>
    <col width="4" customWidth="1" style="43" min="1" max="1"/>
    <col width="52" customWidth="1" style="43" min="2" max="2"/>
    <col width="6.51" customWidth="1" style="43" min="3" max="18"/>
    <col width="11" customWidth="1" style="43" min="19" max="19"/>
  </cols>
  <sheetData>
    <row r="1" ht="19.7" customHeight="1" s="44">
      <c r="A1" s="45" t="inlineStr">
        <is>
          <t>Индекс AI-зрелости подразделений (AIM Index) — SQB Банк</t>
        </is>
      </c>
    </row>
    <row r="2" ht="15" customHeight="1" s="44">
      <c r="A2" s="46" t="inlineStr">
        <is>
          <t>AIM = Σ (Wᵢ × Mᵢ),  где Wᵢ — вес метрики, Mᵢ — нормированное значение метрики (0–100).  Итоговый AIM ∈ [0; 100].</t>
        </is>
      </c>
    </row>
    <row r="3" ht="15" customHeight="1" s="44">
      <c r="A3" s="47" t="inlineStr">
        <is>
          <t>Заполните нормированные значения метрик (0–100) для каждого подразделения — итоговый индекс пересчитается автоматически.</t>
        </is>
      </c>
    </row>
    <row r="4" ht="15" customHeight="1" s="44">
      <c r="A4" s="48" t="inlineStr">
        <is>
          <t>Жёлтая строка — веса Wᵢ (сумма 100%); синие ячейки M1–M16 — поля ввода нормированных значений 0–100.</t>
        </is>
      </c>
    </row>
    <row r="5" ht="15" customHeight="1" s="44">
      <c r="A5" s="49" t="inlineStr">
        <is>
          <t>№</t>
        </is>
      </c>
      <c r="B5" s="49" t="inlineStr">
        <is>
          <t>Подразделение</t>
        </is>
      </c>
      <c r="C5" s="50" t="inlineStr">
        <is>
          <t>M1</t>
        </is>
      </c>
      <c r="D5" s="50" t="inlineStr">
        <is>
          <t>M2</t>
        </is>
      </c>
      <c r="E5" s="50" t="inlineStr">
        <is>
          <t>M3</t>
        </is>
      </c>
      <c r="F5" s="50" t="inlineStr">
        <is>
          <t>M4</t>
        </is>
      </c>
      <c r="G5" s="50" t="inlineStr">
        <is>
          <t>M5</t>
        </is>
      </c>
      <c r="H5" s="50" t="inlineStr">
        <is>
          <t>M6</t>
        </is>
      </c>
      <c r="I5" s="50" t="inlineStr">
        <is>
          <t>M7</t>
        </is>
      </c>
      <c r="J5" s="50" t="inlineStr">
        <is>
          <t>M8</t>
        </is>
      </c>
      <c r="K5" s="50" t="inlineStr">
        <is>
          <t>M9</t>
        </is>
      </c>
      <c r="L5" s="50" t="inlineStr">
        <is>
          <t>M10</t>
        </is>
      </c>
      <c r="M5" s="50" t="inlineStr">
        <is>
          <t>M11</t>
        </is>
      </c>
      <c r="N5" s="50" t="inlineStr">
        <is>
          <t>M12</t>
        </is>
      </c>
      <c r="O5" s="50" t="inlineStr">
        <is>
          <t>M13</t>
        </is>
      </c>
      <c r="P5" s="50" t="inlineStr">
        <is>
          <t>M14</t>
        </is>
      </c>
      <c r="Q5" s="50" t="inlineStr">
        <is>
          <t>M15</t>
        </is>
      </c>
      <c r="R5" s="50" t="inlineStr">
        <is>
          <t>M16</t>
        </is>
      </c>
      <c r="S5" s="51" t="inlineStr">
        <is>
          <t>AIM</t>
        </is>
      </c>
    </row>
    <row r="6" ht="120" customHeight="1" s="44">
      <c r="A6" s="52" t="n"/>
      <c r="B6" s="52" t="n"/>
      <c r="C6" s="53" t="inlineStr">
        <is>
          <t>Финансовый эффект от AI</t>
        </is>
      </c>
      <c r="D6" s="53" t="inlineStr">
        <is>
          <t>Использование Data Platform</t>
        </is>
      </c>
      <c r="E6" s="53" t="inlineStr">
        <is>
          <t>Использование среды исполнения моделей</t>
        </is>
      </c>
      <c r="F6" s="53" t="inlineStr">
        <is>
          <t>Процессы с AI в production</t>
        </is>
      </c>
      <c r="G6" s="53" t="inlineStr">
        <is>
          <t>Переиспользование AI-решений</t>
        </is>
      </c>
      <c r="H6" s="53" t="inlineStr">
        <is>
          <t>Использование Open Source библиотек</t>
        </is>
      </c>
      <c r="I6" s="53" t="inlineStr">
        <is>
          <t>Партнёрства с ВУЗами и НИИ</t>
        </is>
      </c>
      <c r="J6" s="53" t="inlineStr">
        <is>
          <t>Использование AI сотрудниками (AI Adoption)</t>
        </is>
      </c>
      <c r="K6" s="53" t="inlineStr">
        <is>
          <t>Доступность инфраструктуры</t>
        </is>
      </c>
      <c r="L6" s="53" t="inlineStr">
        <is>
          <t>Качество процесса внедрения AI</t>
        </is>
      </c>
      <c r="M6" s="53" t="inlineStr">
        <is>
          <t>Конверсия AI-инициатив</t>
        </is>
      </c>
      <c r="N6" s="53" t="inlineStr">
        <is>
          <t>Time-to-Market</t>
        </is>
      </c>
      <c r="O6" s="53" t="inlineStr">
        <is>
          <t>Исполнение плана AI-трансформации</t>
        </is>
      </c>
      <c r="P6" s="53" t="inlineStr">
        <is>
          <t>Вовлечённость менеджмента</t>
        </is>
      </c>
      <c r="Q6" s="53" t="inlineStr">
        <is>
          <t>AI Governance</t>
        </is>
      </c>
      <c r="R6" s="53" t="inlineStr">
        <is>
          <t>Популяризация AI и DS-функции</t>
        </is>
      </c>
      <c r="S6" s="51" t="inlineStr">
        <is>
          <t>Итоговый
индекс</t>
        </is>
      </c>
    </row>
    <row r="7" ht="37.3" customHeight="1" s="44">
      <c r="A7" s="52" t="n"/>
      <c r="B7" s="52" t="n"/>
      <c r="C7" s="54" t="inlineStr">
        <is>
          <t>Процессы</t>
        </is>
      </c>
      <c r="D7" s="54" t="inlineStr">
        <is>
          <t>Данные</t>
        </is>
      </c>
      <c r="E7" s="54" t="inlineStr">
        <is>
          <t>Инфраструктура</t>
        </is>
      </c>
      <c r="F7" s="54" t="inlineStr">
        <is>
          <t>Процессы</t>
        </is>
      </c>
      <c r="G7" s="54" t="inlineStr">
        <is>
          <t>Модели и инструменты</t>
        </is>
      </c>
      <c r="H7" s="54" t="inlineStr">
        <is>
          <t>Модели и инструменты</t>
        </is>
      </c>
      <c r="I7" s="54" t="inlineStr">
        <is>
          <t>Люди</t>
        </is>
      </c>
      <c r="J7" s="54" t="inlineStr">
        <is>
          <t>Процессы</t>
        </is>
      </c>
      <c r="K7" s="54" t="inlineStr">
        <is>
          <t>Инфраструктура</t>
        </is>
      </c>
      <c r="L7" s="54" t="inlineStr">
        <is>
          <t>Лидерство</t>
        </is>
      </c>
      <c r="M7" s="54" t="inlineStr">
        <is>
          <t>Мышление и культура</t>
        </is>
      </c>
      <c r="N7" s="54" t="inlineStr">
        <is>
          <t>Процессы</t>
        </is>
      </c>
      <c r="O7" s="54" t="inlineStr">
        <is>
          <t>Лидерство</t>
        </is>
      </c>
      <c r="P7" s="54" t="inlineStr">
        <is>
          <t>Лидерство</t>
        </is>
      </c>
      <c r="Q7" s="54" t="inlineStr">
        <is>
          <t>Данные</t>
        </is>
      </c>
      <c r="R7" s="54" t="inlineStr">
        <is>
          <t>Мышление и культура</t>
        </is>
      </c>
      <c r="S7" s="51" t="inlineStr">
        <is>
          <t>0–100</t>
        </is>
      </c>
    </row>
    <row r="8" ht="15" customHeight="1" s="44">
      <c r="A8" s="52" t="n"/>
      <c r="B8" s="52" t="n"/>
      <c r="C8" s="55" t="n">
        <v>0.15</v>
      </c>
      <c r="D8" s="55" t="n">
        <v>0.12</v>
      </c>
      <c r="E8" s="55" t="n">
        <v>0.1</v>
      </c>
      <c r="F8" s="55" t="n">
        <v>0.08</v>
      </c>
      <c r="G8" s="55" t="n">
        <v>0.08</v>
      </c>
      <c r="H8" s="55" t="n">
        <v>0.07000000000000001</v>
      </c>
      <c r="I8" s="55" t="n">
        <v>0.06</v>
      </c>
      <c r="J8" s="55" t="n">
        <v>0.06</v>
      </c>
      <c r="K8" s="55" t="n">
        <v>0.05</v>
      </c>
      <c r="L8" s="55" t="n">
        <v>0.04</v>
      </c>
      <c r="M8" s="55" t="n">
        <v>0.03</v>
      </c>
      <c r="N8" s="55" t="n">
        <v>0.03</v>
      </c>
      <c r="O8" s="55" t="n">
        <v>0.03</v>
      </c>
      <c r="P8" s="55" t="n">
        <v>0.03</v>
      </c>
      <c r="Q8" s="55" t="n">
        <v>0.05</v>
      </c>
      <c r="R8" s="55" t="n">
        <v>0.02</v>
      </c>
      <c r="S8" s="56" t="n">
        <v>1</v>
      </c>
    </row>
    <row r="9" ht="23.85" customHeight="1" s="44">
      <c r="A9" s="57" t="n">
        <v>1</v>
      </c>
      <c r="B9" s="58" t="inlineStr">
        <is>
          <t>Департамент координации финансирования агропромышленных кластеров</t>
        </is>
      </c>
      <c r="C9" s="59" t="n">
        <v>10</v>
      </c>
      <c r="D9" s="59" t="n">
        <v>20</v>
      </c>
      <c r="E9" s="59" t="n">
        <v>18</v>
      </c>
      <c r="F9" s="59" t="n">
        <v>38</v>
      </c>
      <c r="G9" s="59" t="n">
        <v>36</v>
      </c>
      <c r="H9" s="59" t="n">
        <v>45</v>
      </c>
      <c r="I9" s="59" t="n">
        <v>12</v>
      </c>
      <c r="J9" s="59" t="n">
        <v>26</v>
      </c>
      <c r="K9" s="59" t="n">
        <v>10</v>
      </c>
      <c r="L9" s="59" t="n">
        <v>18</v>
      </c>
      <c r="M9" s="59" t="n">
        <v>29</v>
      </c>
      <c r="N9" s="59" t="n">
        <v>10</v>
      </c>
      <c r="O9" s="59" t="n">
        <v>17</v>
      </c>
      <c r="P9" s="59" t="n">
        <v>35</v>
      </c>
      <c r="Q9" s="59" t="n">
        <v>31</v>
      </c>
      <c r="R9" s="59" t="n">
        <v>18</v>
      </c>
      <c r="S9" s="60">
        <f>SUMPRODUCT($C8:$R8,C9:R9)</f>
        <v/>
      </c>
    </row>
    <row r="10" ht="23.85" customHeight="1" s="44">
      <c r="A10" s="61" t="n">
        <v>2</v>
      </c>
      <c r="B10" s="62" t="inlineStr">
        <is>
          <t>Департамент финансовой поддержки населения и вовлечения в предпринимательство</t>
        </is>
      </c>
      <c r="C10" s="63" t="n">
        <v>62</v>
      </c>
      <c r="D10" s="63" t="n">
        <v>30</v>
      </c>
      <c r="E10" s="63" t="n">
        <v>62</v>
      </c>
      <c r="F10" s="63" t="n">
        <v>58</v>
      </c>
      <c r="G10" s="63" t="n">
        <v>44</v>
      </c>
      <c r="H10" s="63" t="n">
        <v>36</v>
      </c>
      <c r="I10" s="63" t="n">
        <v>68</v>
      </c>
      <c r="J10" s="63" t="n">
        <v>43</v>
      </c>
      <c r="K10" s="63" t="n">
        <v>34</v>
      </c>
      <c r="L10" s="63" t="n">
        <v>34</v>
      </c>
      <c r="M10" s="63" t="n">
        <v>64</v>
      </c>
      <c r="N10" s="63" t="n">
        <v>54</v>
      </c>
      <c r="O10" s="63" t="n">
        <v>62</v>
      </c>
      <c r="P10" s="63" t="n">
        <v>59</v>
      </c>
      <c r="Q10" s="63" t="n">
        <v>51</v>
      </c>
      <c r="R10" s="63" t="n">
        <v>69</v>
      </c>
      <c r="S10" s="64">
        <f>SUMPRODUCT($C8:$R8,C10:R10)</f>
        <v/>
      </c>
    </row>
    <row r="11" ht="15" customHeight="1" s="44">
      <c r="A11" s="57" t="n">
        <v>3</v>
      </c>
      <c r="B11" s="58" t="inlineStr">
        <is>
          <t>Департамент информационных технологий</t>
        </is>
      </c>
      <c r="C11" s="59" t="n">
        <v>46</v>
      </c>
      <c r="D11" s="59" t="n">
        <v>55</v>
      </c>
      <c r="E11" s="59" t="n">
        <v>68</v>
      </c>
      <c r="F11" s="59" t="n">
        <v>78</v>
      </c>
      <c r="G11" s="59" t="n">
        <v>57</v>
      </c>
      <c r="H11" s="59" t="n">
        <v>51</v>
      </c>
      <c r="I11" s="59" t="n">
        <v>46</v>
      </c>
      <c r="J11" s="59" t="n">
        <v>69</v>
      </c>
      <c r="K11" s="59" t="n">
        <v>74</v>
      </c>
      <c r="L11" s="59" t="n">
        <v>82</v>
      </c>
      <c r="M11" s="59" t="n">
        <v>77</v>
      </c>
      <c r="N11" s="59" t="n">
        <v>78</v>
      </c>
      <c r="O11" s="59" t="n">
        <v>58</v>
      </c>
      <c r="P11" s="59" t="n">
        <v>61</v>
      </c>
      <c r="Q11" s="59" t="n">
        <v>76</v>
      </c>
      <c r="R11" s="59" t="n">
        <v>50</v>
      </c>
      <c r="S11" s="60">
        <f>SUMPRODUCT($C8:$R8,C11:R11)</f>
        <v/>
      </c>
    </row>
    <row r="12" ht="15" customHeight="1" s="44">
      <c r="A12" s="61" t="n">
        <v>4</v>
      </c>
      <c r="B12" s="62" t="inlineStr">
        <is>
          <t>Центр защиты информации</t>
        </is>
      </c>
      <c r="C12" s="63" t="n">
        <v>48</v>
      </c>
      <c r="D12" s="63" t="n">
        <v>51</v>
      </c>
      <c r="E12" s="63" t="n">
        <v>77</v>
      </c>
      <c r="F12" s="63" t="n">
        <v>66</v>
      </c>
      <c r="G12" s="63" t="n">
        <v>64</v>
      </c>
      <c r="H12" s="63" t="n">
        <v>47</v>
      </c>
      <c r="I12" s="63" t="n">
        <v>69</v>
      </c>
      <c r="J12" s="63" t="n">
        <v>47</v>
      </c>
      <c r="K12" s="63" t="n">
        <v>55</v>
      </c>
      <c r="L12" s="63" t="n">
        <v>80</v>
      </c>
      <c r="M12" s="63" t="n">
        <v>66</v>
      </c>
      <c r="N12" s="63" t="n">
        <v>62</v>
      </c>
      <c r="O12" s="63" t="n">
        <v>67</v>
      </c>
      <c r="P12" s="63" t="n">
        <v>74</v>
      </c>
      <c r="Q12" s="63" t="n">
        <v>71</v>
      </c>
      <c r="R12" s="63" t="n">
        <v>49</v>
      </c>
      <c r="S12" s="64">
        <f>SUMPRODUCT($C8:$R8,C12:R12)</f>
        <v/>
      </c>
    </row>
    <row r="13" ht="15" customHeight="1" s="44">
      <c r="A13" s="57" t="n">
        <v>5</v>
      </c>
      <c r="B13" s="58" t="inlineStr">
        <is>
          <t>Департамент поддержки систем банковских карт</t>
        </is>
      </c>
      <c r="C13" s="59" t="n">
        <v>31</v>
      </c>
      <c r="D13" s="59" t="n">
        <v>15</v>
      </c>
      <c r="E13" s="59" t="n">
        <v>2</v>
      </c>
      <c r="F13" s="59" t="n">
        <v>36</v>
      </c>
      <c r="G13" s="59" t="n">
        <v>22</v>
      </c>
      <c r="H13" s="59" t="n">
        <v>28</v>
      </c>
      <c r="I13" s="59" t="n">
        <v>8</v>
      </c>
      <c r="J13" s="59" t="n">
        <v>19</v>
      </c>
      <c r="K13" s="59" t="n">
        <v>34</v>
      </c>
      <c r="L13" s="59" t="n">
        <v>25</v>
      </c>
      <c r="M13" s="59" t="n">
        <v>5</v>
      </c>
      <c r="N13" s="59" t="n">
        <v>5</v>
      </c>
      <c r="O13" s="59" t="n">
        <v>29</v>
      </c>
      <c r="P13" s="59" t="n">
        <v>21</v>
      </c>
      <c r="Q13" s="59" t="n">
        <v>29</v>
      </c>
      <c r="R13" s="59" t="n">
        <v>16</v>
      </c>
      <c r="S13" s="60">
        <f>SUMPRODUCT($C8:$R8,C13:R13)</f>
        <v/>
      </c>
    </row>
    <row r="14" ht="15" customHeight="1" s="44">
      <c r="A14" s="61" t="n">
        <v>6</v>
      </c>
      <c r="B14" s="62" t="inlineStr">
        <is>
          <t>Департамент координации деятельности банковских сетей</t>
        </is>
      </c>
      <c r="C14" s="63" t="n">
        <v>60</v>
      </c>
      <c r="D14" s="63" t="n">
        <v>86</v>
      </c>
      <c r="E14" s="63" t="n">
        <v>52</v>
      </c>
      <c r="F14" s="63" t="n">
        <v>66</v>
      </c>
      <c r="G14" s="63" t="n">
        <v>76</v>
      </c>
      <c r="H14" s="63" t="n">
        <v>80</v>
      </c>
      <c r="I14" s="63" t="n">
        <v>52</v>
      </c>
      <c r="J14" s="63" t="n">
        <v>52</v>
      </c>
      <c r="K14" s="63" t="n">
        <v>73</v>
      </c>
      <c r="L14" s="63" t="n">
        <v>70</v>
      </c>
      <c r="M14" s="63" t="n">
        <v>61</v>
      </c>
      <c r="N14" s="63" t="n">
        <v>70</v>
      </c>
      <c r="O14" s="63" t="n">
        <v>65</v>
      </c>
      <c r="P14" s="63" t="n">
        <v>56</v>
      </c>
      <c r="Q14" s="63" t="n">
        <v>68</v>
      </c>
      <c r="R14" s="63" t="n">
        <v>84</v>
      </c>
      <c r="S14" s="64">
        <f>SUMPRODUCT($C8:$R8,C14:R14)</f>
        <v/>
      </c>
    </row>
    <row r="15" ht="15" customHeight="1" s="44">
      <c r="A15" s="57" t="n">
        <v>7</v>
      </c>
      <c r="B15" s="58" t="inlineStr">
        <is>
          <t>Департамент стратегического развития Банка</t>
        </is>
      </c>
      <c r="C15" s="59" t="n">
        <v>36</v>
      </c>
      <c r="D15" s="59" t="n">
        <v>30</v>
      </c>
      <c r="E15" s="59" t="n">
        <v>20</v>
      </c>
      <c r="F15" s="59" t="n">
        <v>35</v>
      </c>
      <c r="G15" s="59" t="n">
        <v>13</v>
      </c>
      <c r="H15" s="59" t="n">
        <v>26</v>
      </c>
      <c r="I15" s="59" t="n">
        <v>27</v>
      </c>
      <c r="J15" s="59" t="n">
        <v>47</v>
      </c>
      <c r="K15" s="59" t="n">
        <v>44</v>
      </c>
      <c r="L15" s="59" t="n">
        <v>20</v>
      </c>
      <c r="M15" s="59" t="n">
        <v>29</v>
      </c>
      <c r="N15" s="59" t="n">
        <v>16</v>
      </c>
      <c r="O15" s="59" t="n">
        <v>46</v>
      </c>
      <c r="P15" s="59" t="n">
        <v>44</v>
      </c>
      <c r="Q15" s="59" t="n">
        <v>21</v>
      </c>
      <c r="R15" s="59" t="n">
        <v>35</v>
      </c>
      <c r="S15" s="60">
        <f>SUMPRODUCT($C8:$R8,C15:R15)</f>
        <v/>
      </c>
    </row>
    <row r="16" ht="15" customHeight="1" s="44">
      <c r="A16" s="61" t="n">
        <v>8</v>
      </c>
      <c r="B16" s="62" t="inlineStr">
        <is>
          <t>Департамент бухгалтерского учета и отчетности</t>
        </is>
      </c>
      <c r="C16" s="63" t="n">
        <v>26</v>
      </c>
      <c r="D16" s="63" t="n">
        <v>51</v>
      </c>
      <c r="E16" s="63" t="n">
        <v>42</v>
      </c>
      <c r="F16" s="63" t="n">
        <v>51</v>
      </c>
      <c r="G16" s="63" t="n">
        <v>41</v>
      </c>
      <c r="H16" s="63" t="n">
        <v>20</v>
      </c>
      <c r="I16" s="63" t="n">
        <v>33</v>
      </c>
      <c r="J16" s="63" t="n">
        <v>21</v>
      </c>
      <c r="K16" s="63" t="n">
        <v>57</v>
      </c>
      <c r="L16" s="63" t="n">
        <v>55</v>
      </c>
      <c r="M16" s="63" t="n">
        <v>53</v>
      </c>
      <c r="N16" s="63" t="n">
        <v>32</v>
      </c>
      <c r="O16" s="63" t="n">
        <v>22</v>
      </c>
      <c r="P16" s="63" t="n">
        <v>55</v>
      </c>
      <c r="Q16" s="63" t="n">
        <v>58</v>
      </c>
      <c r="R16" s="63" t="n">
        <v>23</v>
      </c>
      <c r="S16" s="64">
        <f>SUMPRODUCT($C8:$R8,C16:R16)</f>
        <v/>
      </c>
    </row>
    <row r="17" ht="15" customHeight="1" s="44">
      <c r="A17" s="57" t="n">
        <v>9</v>
      </c>
      <c r="B17" s="58" t="inlineStr">
        <is>
          <t>Департамент розничного бизнеса</t>
        </is>
      </c>
      <c r="C17" s="59" t="n">
        <v>90</v>
      </c>
      <c r="D17" s="59" t="n">
        <v>96</v>
      </c>
      <c r="E17" s="59" t="n">
        <v>78</v>
      </c>
      <c r="F17" s="59" t="n">
        <v>62</v>
      </c>
      <c r="G17" s="59" t="n">
        <v>83</v>
      </c>
      <c r="H17" s="59" t="n">
        <v>95</v>
      </c>
      <c r="I17" s="59" t="n">
        <v>64</v>
      </c>
      <c r="J17" s="59" t="n">
        <v>78</v>
      </c>
      <c r="K17" s="59" t="n">
        <v>81</v>
      </c>
      <c r="L17" s="59" t="n">
        <v>96</v>
      </c>
      <c r="M17" s="59" t="n">
        <v>94</v>
      </c>
      <c r="N17" s="59" t="n">
        <v>87</v>
      </c>
      <c r="O17" s="59" t="n">
        <v>85</v>
      </c>
      <c r="P17" s="59" t="n">
        <v>86</v>
      </c>
      <c r="Q17" s="59" t="n">
        <v>73</v>
      </c>
      <c r="R17" s="59" t="n">
        <v>84</v>
      </c>
      <c r="S17" s="60">
        <f>SUMPRODUCT($C8:$R8,C17:R17)</f>
        <v/>
      </c>
    </row>
    <row r="18" ht="15" customHeight="1" s="44">
      <c r="A18" s="61" t="n">
        <v>10</v>
      </c>
      <c r="B18" s="62" t="inlineStr">
        <is>
          <t>Департамент казначейства</t>
        </is>
      </c>
      <c r="C18" s="63" t="n">
        <v>60</v>
      </c>
      <c r="D18" s="63" t="n">
        <v>63</v>
      </c>
      <c r="E18" s="63" t="n">
        <v>47</v>
      </c>
      <c r="F18" s="63" t="n">
        <v>51</v>
      </c>
      <c r="G18" s="63" t="n">
        <v>56</v>
      </c>
      <c r="H18" s="63" t="n">
        <v>66</v>
      </c>
      <c r="I18" s="63" t="n">
        <v>51</v>
      </c>
      <c r="J18" s="63" t="n">
        <v>51</v>
      </c>
      <c r="K18" s="63" t="n">
        <v>45</v>
      </c>
      <c r="L18" s="63" t="n">
        <v>67</v>
      </c>
      <c r="M18" s="63" t="n">
        <v>51</v>
      </c>
      <c r="N18" s="63" t="n">
        <v>78</v>
      </c>
      <c r="O18" s="63" t="n">
        <v>76</v>
      </c>
      <c r="P18" s="63" t="n">
        <v>45</v>
      </c>
      <c r="Q18" s="63" t="n">
        <v>52</v>
      </c>
      <c r="R18" s="63" t="n">
        <v>69</v>
      </c>
      <c r="S18" s="64">
        <f>SUMPRODUCT($C8:$R8,C18:R18)</f>
        <v/>
      </c>
    </row>
    <row r="19" ht="15" customHeight="1" s="44">
      <c r="A19" s="57" t="n">
        <v>11</v>
      </c>
      <c r="B19" s="58" t="inlineStr">
        <is>
          <t>Департамент внутреннего аудита</t>
        </is>
      </c>
      <c r="C19" s="59" t="n">
        <v>44</v>
      </c>
      <c r="D19" s="59" t="n">
        <v>51</v>
      </c>
      <c r="E19" s="59" t="n">
        <v>57</v>
      </c>
      <c r="F19" s="59" t="n">
        <v>45</v>
      </c>
      <c r="G19" s="59" t="n">
        <v>32</v>
      </c>
      <c r="H19" s="59" t="n">
        <v>41</v>
      </c>
      <c r="I19" s="59" t="n">
        <v>38</v>
      </c>
      <c r="J19" s="59" t="n">
        <v>26</v>
      </c>
      <c r="K19" s="59" t="n">
        <v>48</v>
      </c>
      <c r="L19" s="59" t="n">
        <v>36</v>
      </c>
      <c r="M19" s="59" t="n">
        <v>38</v>
      </c>
      <c r="N19" s="59" t="n">
        <v>57</v>
      </c>
      <c r="O19" s="59" t="n">
        <v>24</v>
      </c>
      <c r="P19" s="59" t="n">
        <v>48</v>
      </c>
      <c r="Q19" s="59" t="n">
        <v>48</v>
      </c>
      <c r="R19" s="59" t="n">
        <v>24</v>
      </c>
      <c r="S19" s="60">
        <f>SUMPRODUCT($C8:$R8,C19:R19)</f>
        <v/>
      </c>
    </row>
    <row r="20" ht="15" customHeight="1" s="44">
      <c r="A20" s="61" t="n">
        <v>12</v>
      </c>
      <c r="B20" s="62" t="inlineStr">
        <is>
          <t>Департамент внутренней безопасности</t>
        </is>
      </c>
      <c r="C20" s="63" t="n">
        <v>70</v>
      </c>
      <c r="D20" s="63" t="n">
        <v>42</v>
      </c>
      <c r="E20" s="63" t="n">
        <v>46</v>
      </c>
      <c r="F20" s="63" t="n">
        <v>59</v>
      </c>
      <c r="G20" s="63" t="n">
        <v>44</v>
      </c>
      <c r="H20" s="63" t="n">
        <v>45</v>
      </c>
      <c r="I20" s="63" t="n">
        <v>57</v>
      </c>
      <c r="J20" s="63" t="n">
        <v>73</v>
      </c>
      <c r="K20" s="63" t="n">
        <v>41</v>
      </c>
      <c r="L20" s="63" t="n">
        <v>70</v>
      </c>
      <c r="M20" s="63" t="n">
        <v>72</v>
      </c>
      <c r="N20" s="63" t="n">
        <v>42</v>
      </c>
      <c r="O20" s="63" t="n">
        <v>64</v>
      </c>
      <c r="P20" s="63" t="n">
        <v>60</v>
      </c>
      <c r="Q20" s="63" t="n">
        <v>39</v>
      </c>
      <c r="R20" s="63" t="n">
        <v>42</v>
      </c>
      <c r="S20" s="64">
        <f>SUMPRODUCT($C8:$R8,C20:R20)</f>
        <v/>
      </c>
    </row>
    <row r="21" ht="15" customHeight="1" s="44">
      <c r="A21" s="57" t="n">
        <v>13</v>
      </c>
      <c r="B21" s="58" t="inlineStr">
        <is>
          <t>Департамент управления исполнением и анализа развития</t>
        </is>
      </c>
      <c r="C21" s="59" t="n">
        <v>32</v>
      </c>
      <c r="D21" s="59" t="n">
        <v>44</v>
      </c>
      <c r="E21" s="59" t="n">
        <v>34</v>
      </c>
      <c r="F21" s="59" t="n">
        <v>41</v>
      </c>
      <c r="G21" s="59" t="n">
        <v>27</v>
      </c>
      <c r="H21" s="59" t="n">
        <v>40</v>
      </c>
      <c r="I21" s="59" t="n">
        <v>64</v>
      </c>
      <c r="J21" s="59" t="n">
        <v>36</v>
      </c>
      <c r="K21" s="59" t="n">
        <v>56</v>
      </c>
      <c r="L21" s="59" t="n">
        <v>43</v>
      </c>
      <c r="M21" s="59" t="n">
        <v>42</v>
      </c>
      <c r="N21" s="59" t="n">
        <v>63</v>
      </c>
      <c r="O21" s="59" t="n">
        <v>65</v>
      </c>
      <c r="P21" s="59" t="n">
        <v>47</v>
      </c>
      <c r="Q21" s="59" t="n">
        <v>54</v>
      </c>
      <c r="R21" s="59" t="n">
        <v>31</v>
      </c>
      <c r="S21" s="60">
        <f>SUMPRODUCT($C8:$R8,C21:R21)</f>
        <v/>
      </c>
    </row>
    <row r="22" ht="15" customHeight="1" s="44">
      <c r="A22" s="61" t="n">
        <v>14</v>
      </c>
      <c r="B22" s="62" t="inlineStr">
        <is>
          <t>Департамент инвестиционного банкинга</t>
        </is>
      </c>
      <c r="C22" s="63" t="n">
        <v>41</v>
      </c>
      <c r="D22" s="63" t="n">
        <v>34</v>
      </c>
      <c r="E22" s="63" t="n">
        <v>61</v>
      </c>
      <c r="F22" s="63" t="n">
        <v>34</v>
      </c>
      <c r="G22" s="63" t="n">
        <v>45</v>
      </c>
      <c r="H22" s="63" t="n">
        <v>34</v>
      </c>
      <c r="I22" s="63" t="n">
        <v>51</v>
      </c>
      <c r="J22" s="63" t="n">
        <v>69</v>
      </c>
      <c r="K22" s="63" t="n">
        <v>53</v>
      </c>
      <c r="L22" s="63" t="n">
        <v>34</v>
      </c>
      <c r="M22" s="63" t="n">
        <v>52</v>
      </c>
      <c r="N22" s="63" t="n">
        <v>66</v>
      </c>
      <c r="O22" s="63" t="n">
        <v>35</v>
      </c>
      <c r="P22" s="63" t="n">
        <v>35</v>
      </c>
      <c r="Q22" s="63" t="n">
        <v>66</v>
      </c>
      <c r="R22" s="63" t="n">
        <v>48</v>
      </c>
      <c r="S22" s="64">
        <f>SUMPRODUCT($C8:$R8,C22:R22)</f>
        <v/>
      </c>
    </row>
    <row r="23" ht="15" customHeight="1" s="44">
      <c r="A23" s="57" t="n">
        <v>15</v>
      </c>
      <c r="B23" s="58" t="inlineStr">
        <is>
          <t>Департамент комплаенс-контроля</t>
        </is>
      </c>
      <c r="C23" s="59" t="n">
        <v>49</v>
      </c>
      <c r="D23" s="59" t="n">
        <v>28</v>
      </c>
      <c r="E23" s="59" t="n">
        <v>29</v>
      </c>
      <c r="F23" s="59" t="n">
        <v>52</v>
      </c>
      <c r="G23" s="59" t="n">
        <v>49</v>
      </c>
      <c r="H23" s="59" t="n">
        <v>39</v>
      </c>
      <c r="I23" s="59" t="n">
        <v>36</v>
      </c>
      <c r="J23" s="59" t="n">
        <v>53</v>
      </c>
      <c r="K23" s="59" t="n">
        <v>39</v>
      </c>
      <c r="L23" s="59" t="n">
        <v>37</v>
      </c>
      <c r="M23" s="59" t="n">
        <v>31</v>
      </c>
      <c r="N23" s="59" t="n">
        <v>52</v>
      </c>
      <c r="O23" s="59" t="n">
        <v>44</v>
      </c>
      <c r="P23" s="59" t="n">
        <v>63</v>
      </c>
      <c r="Q23" s="59" t="n">
        <v>63</v>
      </c>
      <c r="R23" s="59" t="n">
        <v>26</v>
      </c>
      <c r="S23" s="60">
        <f>SUMPRODUCT($C8:$R8,C23:R23)</f>
        <v/>
      </c>
    </row>
    <row r="24" ht="15" customHeight="1" s="44">
      <c r="A24" s="61" t="n">
        <v>16</v>
      </c>
      <c r="B24" s="62" t="inlineStr">
        <is>
          <t>Корпоративный центр</t>
        </is>
      </c>
      <c r="C24" s="63" t="n">
        <v>10</v>
      </c>
      <c r="D24" s="63" t="n">
        <v>16</v>
      </c>
      <c r="E24" s="63" t="n">
        <v>18</v>
      </c>
      <c r="F24" s="63" t="n">
        <v>44</v>
      </c>
      <c r="G24" s="63" t="n">
        <v>42</v>
      </c>
      <c r="H24" s="63" t="n">
        <v>42</v>
      </c>
      <c r="I24" s="63" t="n">
        <v>22</v>
      </c>
      <c r="J24" s="63" t="n">
        <v>13</v>
      </c>
      <c r="K24" s="63" t="n">
        <v>40</v>
      </c>
      <c r="L24" s="63" t="n">
        <v>35</v>
      </c>
      <c r="M24" s="63" t="n">
        <v>31</v>
      </c>
      <c r="N24" s="63" t="n">
        <v>46</v>
      </c>
      <c r="O24" s="63" t="n">
        <v>33</v>
      </c>
      <c r="P24" s="63" t="n">
        <v>7</v>
      </c>
      <c r="Q24" s="63" t="n">
        <v>40</v>
      </c>
      <c r="R24" s="63" t="n">
        <v>19</v>
      </c>
      <c r="S24" s="64">
        <f>SUMPRODUCT($C8:$R8,C24:R24)</f>
        <v/>
      </c>
    </row>
    <row r="25" ht="15" customHeight="1" s="44">
      <c r="A25" s="57" t="n">
        <v>17</v>
      </c>
      <c r="B25" s="58" t="inlineStr">
        <is>
          <t>Служба по борьбе с коррупцией</t>
        </is>
      </c>
      <c r="C25" s="59" t="n">
        <v>46</v>
      </c>
      <c r="D25" s="59" t="n">
        <v>13</v>
      </c>
      <c r="E25" s="59" t="n">
        <v>13</v>
      </c>
      <c r="F25" s="59" t="n">
        <v>12</v>
      </c>
      <c r="G25" s="59" t="n">
        <v>30</v>
      </c>
      <c r="H25" s="59" t="n">
        <v>19</v>
      </c>
      <c r="I25" s="59" t="n">
        <v>32</v>
      </c>
      <c r="J25" s="59" t="n">
        <v>37</v>
      </c>
      <c r="K25" s="59" t="n">
        <v>16</v>
      </c>
      <c r="L25" s="59" t="n">
        <v>33</v>
      </c>
      <c r="M25" s="59" t="n">
        <v>19</v>
      </c>
      <c r="N25" s="59" t="n">
        <v>28</v>
      </c>
      <c r="O25" s="59" t="n">
        <v>44</v>
      </c>
      <c r="P25" s="59" t="n">
        <v>42</v>
      </c>
      <c r="Q25" s="59" t="n">
        <v>12</v>
      </c>
      <c r="R25" s="59" t="n">
        <v>25</v>
      </c>
      <c r="S25" s="60">
        <f>SUMPRODUCT($C8:$R8,C25:R25)</f>
        <v/>
      </c>
    </row>
    <row r="26" ht="15" customHeight="1" s="44">
      <c r="A26" s="61" t="n">
        <v>18</v>
      </c>
      <c r="B26" s="62" t="inlineStr">
        <is>
          <t>Департамент мониторинга и контроля кредитов</t>
        </is>
      </c>
      <c r="C26" s="63" t="n">
        <v>32</v>
      </c>
      <c r="D26" s="63" t="n">
        <v>43</v>
      </c>
      <c r="E26" s="63" t="n">
        <v>35</v>
      </c>
      <c r="F26" s="63" t="n">
        <v>69</v>
      </c>
      <c r="G26" s="63" t="n">
        <v>36</v>
      </c>
      <c r="H26" s="63" t="n">
        <v>48</v>
      </c>
      <c r="I26" s="63" t="n">
        <v>58</v>
      </c>
      <c r="J26" s="63" t="n">
        <v>52</v>
      </c>
      <c r="K26" s="63" t="n">
        <v>34</v>
      </c>
      <c r="L26" s="63" t="n">
        <v>68</v>
      </c>
      <c r="M26" s="63" t="n">
        <v>58</v>
      </c>
      <c r="N26" s="63" t="n">
        <v>36</v>
      </c>
      <c r="O26" s="63" t="n">
        <v>31</v>
      </c>
      <c r="P26" s="63" t="n">
        <v>45</v>
      </c>
      <c r="Q26" s="63" t="n">
        <v>52</v>
      </c>
      <c r="R26" s="63" t="n">
        <v>47</v>
      </c>
      <c r="S26" s="64">
        <f>SUMPRODUCT($C8:$R8,C26:R26)</f>
        <v/>
      </c>
    </row>
    <row r="27" ht="15" customHeight="1" s="44">
      <c r="A27" s="57" t="n">
        <v>19</v>
      </c>
      <c r="B27" s="58" t="inlineStr">
        <is>
          <t>Департамент по работе с кредитной задолженностью</t>
        </is>
      </c>
      <c r="C27" s="59" t="n">
        <v>12</v>
      </c>
      <c r="D27" s="59" t="n">
        <v>36</v>
      </c>
      <c r="E27" s="59" t="n">
        <v>32</v>
      </c>
      <c r="F27" s="59" t="n">
        <v>34</v>
      </c>
      <c r="G27" s="59" t="n">
        <v>36</v>
      </c>
      <c r="H27" s="59" t="n">
        <v>8</v>
      </c>
      <c r="I27" s="59" t="n">
        <v>10</v>
      </c>
      <c r="J27" s="59" t="n">
        <v>4</v>
      </c>
      <c r="K27" s="59" t="n">
        <v>31</v>
      </c>
      <c r="L27" s="59" t="n">
        <v>35</v>
      </c>
      <c r="M27" s="59" t="n">
        <v>16</v>
      </c>
      <c r="N27" s="59" t="n">
        <v>25</v>
      </c>
      <c r="O27" s="59" t="n">
        <v>6</v>
      </c>
      <c r="P27" s="59" t="n">
        <v>37</v>
      </c>
      <c r="Q27" s="59" t="n">
        <v>35</v>
      </c>
      <c r="R27" s="59" t="n">
        <v>39</v>
      </c>
      <c r="S27" s="60">
        <f>SUMPRODUCT($C8:$R8,C27:R27)</f>
        <v/>
      </c>
    </row>
    <row r="28" ht="15" customHeight="1" s="44">
      <c r="A28" s="61" t="n">
        <v>20</v>
      </c>
      <c r="B28" s="62" t="inlineStr">
        <is>
          <t>Департамент одобрения кредитов</t>
        </is>
      </c>
      <c r="C28" s="63" t="n">
        <v>52</v>
      </c>
      <c r="D28" s="63" t="n">
        <v>18</v>
      </c>
      <c r="E28" s="63" t="n">
        <v>46</v>
      </c>
      <c r="F28" s="63" t="n">
        <v>30</v>
      </c>
      <c r="G28" s="63" t="n">
        <v>54</v>
      </c>
      <c r="H28" s="63" t="n">
        <v>49</v>
      </c>
      <c r="I28" s="63" t="n">
        <v>52</v>
      </c>
      <c r="J28" s="63" t="n">
        <v>49</v>
      </c>
      <c r="K28" s="63" t="n">
        <v>28</v>
      </c>
      <c r="L28" s="63" t="n">
        <v>48</v>
      </c>
      <c r="M28" s="63" t="n">
        <v>21</v>
      </c>
      <c r="N28" s="63" t="n">
        <v>52</v>
      </c>
      <c r="O28" s="63" t="n">
        <v>51</v>
      </c>
      <c r="P28" s="63" t="n">
        <v>26</v>
      </c>
      <c r="Q28" s="63" t="n">
        <v>50</v>
      </c>
      <c r="R28" s="63" t="n">
        <v>35</v>
      </c>
      <c r="S28" s="64">
        <f>SUMPRODUCT($C8:$R8,C28:R28)</f>
        <v/>
      </c>
    </row>
    <row r="29" ht="15" customHeight="1" s="44">
      <c r="A29" s="57" t="n">
        <v>21</v>
      </c>
      <c r="B29" s="58" t="inlineStr">
        <is>
          <t>Департамент кредитования</t>
        </is>
      </c>
      <c r="C29" s="59" t="n">
        <v>67</v>
      </c>
      <c r="D29" s="59" t="n">
        <v>69</v>
      </c>
      <c r="E29" s="59" t="n">
        <v>43</v>
      </c>
      <c r="F29" s="59" t="n">
        <v>60</v>
      </c>
      <c r="G29" s="59" t="n">
        <v>50</v>
      </c>
      <c r="H29" s="59" t="n">
        <v>45</v>
      </c>
      <c r="I29" s="59" t="n">
        <v>37</v>
      </c>
      <c r="J29" s="59" t="n">
        <v>65</v>
      </c>
      <c r="K29" s="59" t="n">
        <v>48</v>
      </c>
      <c r="L29" s="59" t="n">
        <v>54</v>
      </c>
      <c r="M29" s="59" t="n">
        <v>61</v>
      </c>
      <c r="N29" s="59" t="n">
        <v>68</v>
      </c>
      <c r="O29" s="59" t="n">
        <v>47</v>
      </c>
      <c r="P29" s="59" t="n">
        <v>35</v>
      </c>
      <c r="Q29" s="59" t="n">
        <v>69</v>
      </c>
      <c r="R29" s="59" t="n">
        <v>44</v>
      </c>
      <c r="S29" s="60">
        <f>SUMPRODUCT($C8:$R8,C29:R29)</f>
        <v/>
      </c>
    </row>
    <row r="30" ht="15" customHeight="1" s="44">
      <c r="A30" s="61" t="n">
        <v>22</v>
      </c>
      <c r="B30" s="62" t="inlineStr">
        <is>
          <t>Офис управления проектами</t>
        </is>
      </c>
      <c r="C30" s="63" t="n">
        <v>30</v>
      </c>
      <c r="D30" s="63" t="n">
        <v>52</v>
      </c>
      <c r="E30" s="63" t="n">
        <v>42</v>
      </c>
      <c r="F30" s="63" t="n">
        <v>59</v>
      </c>
      <c r="G30" s="63" t="n">
        <v>45</v>
      </c>
      <c r="H30" s="63" t="n">
        <v>67</v>
      </c>
      <c r="I30" s="63" t="n">
        <v>33</v>
      </c>
      <c r="J30" s="63" t="n">
        <v>64</v>
      </c>
      <c r="K30" s="63" t="n">
        <v>36</v>
      </c>
      <c r="L30" s="63" t="n">
        <v>30</v>
      </c>
      <c r="M30" s="63" t="n">
        <v>45</v>
      </c>
      <c r="N30" s="63" t="n">
        <v>49</v>
      </c>
      <c r="O30" s="63" t="n">
        <v>60</v>
      </c>
      <c r="P30" s="63" t="n">
        <v>55</v>
      </c>
      <c r="Q30" s="63" t="n">
        <v>66</v>
      </c>
      <c r="R30" s="63" t="n">
        <v>57</v>
      </c>
      <c r="S30" s="64">
        <f>SUMPRODUCT($C8:$R8,C30:R30)</f>
        <v/>
      </c>
    </row>
    <row r="31" ht="15" customHeight="1" s="44">
      <c r="A31" s="57" t="n">
        <v>23</v>
      </c>
      <c r="B31" s="58" t="inlineStr">
        <is>
          <t>Центр управления данными</t>
        </is>
      </c>
      <c r="C31" s="59" t="n">
        <v>35</v>
      </c>
      <c r="D31" s="59" t="n">
        <v>23</v>
      </c>
      <c r="E31" s="59" t="n">
        <v>47</v>
      </c>
      <c r="F31" s="59" t="n">
        <v>33</v>
      </c>
      <c r="G31" s="59" t="n">
        <v>33</v>
      </c>
      <c r="H31" s="59" t="n">
        <v>54</v>
      </c>
      <c r="I31" s="59" t="n">
        <v>49</v>
      </c>
      <c r="J31" s="59" t="n">
        <v>32</v>
      </c>
      <c r="K31" s="59" t="n">
        <v>32</v>
      </c>
      <c r="L31" s="59" t="n">
        <v>36</v>
      </c>
      <c r="M31" s="59" t="n">
        <v>36</v>
      </c>
      <c r="N31" s="59" t="n">
        <v>32</v>
      </c>
      <c r="O31" s="59" t="n">
        <v>25</v>
      </c>
      <c r="P31" s="59" t="n">
        <v>37</v>
      </c>
      <c r="Q31" s="59" t="n">
        <v>58</v>
      </c>
      <c r="R31" s="59" t="n">
        <v>47</v>
      </c>
      <c r="S31" s="60">
        <f>SUMPRODUCT($C8:$R8,C31:R31)</f>
        <v/>
      </c>
    </row>
    <row r="32" ht="15" customHeight="1" s="44">
      <c r="A32" s="61" t="n">
        <v>24</v>
      </c>
      <c r="B32" s="62" t="inlineStr">
        <is>
          <t>Департамент маркетинга</t>
        </is>
      </c>
      <c r="C32" s="63" t="n">
        <v>42</v>
      </c>
      <c r="D32" s="63" t="n">
        <v>29</v>
      </c>
      <c r="E32" s="63" t="n">
        <v>39</v>
      </c>
      <c r="F32" s="63" t="n">
        <v>17</v>
      </c>
      <c r="G32" s="63" t="n">
        <v>28</v>
      </c>
      <c r="H32" s="63" t="n">
        <v>34</v>
      </c>
      <c r="I32" s="63" t="n">
        <v>40</v>
      </c>
      <c r="J32" s="63" t="n">
        <v>43</v>
      </c>
      <c r="K32" s="63" t="n">
        <v>36</v>
      </c>
      <c r="L32" s="63" t="n">
        <v>35</v>
      </c>
      <c r="M32" s="63" t="n">
        <v>26</v>
      </c>
      <c r="N32" s="63" t="n">
        <v>36</v>
      </c>
      <c r="O32" s="63" t="n">
        <v>53</v>
      </c>
      <c r="P32" s="63" t="n">
        <v>49</v>
      </c>
      <c r="Q32" s="63" t="n">
        <v>24</v>
      </c>
      <c r="R32" s="63" t="n">
        <v>20</v>
      </c>
      <c r="S32" s="64">
        <f>SUMPRODUCT($C8:$R8,C32:R32)</f>
        <v/>
      </c>
    </row>
    <row r="33" ht="15" customHeight="1" s="44">
      <c r="A33" s="57" t="n">
        <v>25</v>
      </c>
      <c r="B33" s="58" t="inlineStr">
        <is>
          <t>Департамент микро- и малого бизнеса</t>
        </is>
      </c>
      <c r="C33" s="59" t="n">
        <v>87</v>
      </c>
      <c r="D33" s="59" t="n">
        <v>85</v>
      </c>
      <c r="E33" s="59" t="n">
        <v>64</v>
      </c>
      <c r="F33" s="59" t="n">
        <v>98</v>
      </c>
      <c r="G33" s="59" t="n">
        <v>69</v>
      </c>
      <c r="H33" s="59" t="n">
        <v>72</v>
      </c>
      <c r="I33" s="59" t="n">
        <v>92</v>
      </c>
      <c r="J33" s="59" t="n">
        <v>66</v>
      </c>
      <c r="K33" s="59" t="n">
        <v>62</v>
      </c>
      <c r="L33" s="59" t="n">
        <v>99</v>
      </c>
      <c r="M33" s="59" t="n">
        <v>84</v>
      </c>
      <c r="N33" s="59" t="n">
        <v>91</v>
      </c>
      <c r="O33" s="59" t="n">
        <v>78</v>
      </c>
      <c r="P33" s="59" t="n">
        <v>95</v>
      </c>
      <c r="Q33" s="59" t="n">
        <v>83</v>
      </c>
      <c r="R33" s="59" t="n">
        <v>89</v>
      </c>
      <c r="S33" s="60">
        <f>SUMPRODUCT($C8:$R8,C33:R33)</f>
        <v/>
      </c>
    </row>
    <row r="34" ht="23.85" customHeight="1" s="44">
      <c r="A34" s="61" t="n">
        <v>26</v>
      </c>
      <c r="B34" s="62" t="inlineStr">
        <is>
          <t>Департамент по работе с финансовыми институтами и инвесторами</t>
        </is>
      </c>
      <c r="C34" s="63" t="n">
        <v>64</v>
      </c>
      <c r="D34" s="63" t="n">
        <v>54</v>
      </c>
      <c r="E34" s="63" t="n">
        <v>70</v>
      </c>
      <c r="F34" s="63" t="n">
        <v>44</v>
      </c>
      <c r="G34" s="63" t="n">
        <v>74</v>
      </c>
      <c r="H34" s="63" t="n">
        <v>75</v>
      </c>
      <c r="I34" s="63" t="n">
        <v>48</v>
      </c>
      <c r="J34" s="63" t="n">
        <v>61</v>
      </c>
      <c r="K34" s="63" t="n">
        <v>51</v>
      </c>
      <c r="L34" s="63" t="n">
        <v>82</v>
      </c>
      <c r="M34" s="63" t="n">
        <v>65</v>
      </c>
      <c r="N34" s="63" t="n">
        <v>46</v>
      </c>
      <c r="O34" s="63" t="n">
        <v>54</v>
      </c>
      <c r="P34" s="63" t="n">
        <v>78</v>
      </c>
      <c r="Q34" s="63" t="n">
        <v>62</v>
      </c>
      <c r="R34" s="63" t="n">
        <v>76</v>
      </c>
      <c r="S34" s="64">
        <f>SUMPRODUCT($C8:$R8,C34:R34)</f>
        <v/>
      </c>
    </row>
    <row r="35" ht="15" customHeight="1" s="44">
      <c r="A35" s="57" t="n">
        <v>27</v>
      </c>
      <c r="B35" s="58" t="inlineStr">
        <is>
          <t>Центр финансового менеджмента</t>
        </is>
      </c>
      <c r="C35" s="59" t="n">
        <v>100</v>
      </c>
      <c r="D35" s="59" t="n">
        <v>86</v>
      </c>
      <c r="E35" s="59" t="n">
        <v>100</v>
      </c>
      <c r="F35" s="59" t="n">
        <v>98</v>
      </c>
      <c r="G35" s="59" t="n">
        <v>87</v>
      </c>
      <c r="H35" s="59" t="n">
        <v>91</v>
      </c>
      <c r="I35" s="59" t="n">
        <v>82</v>
      </c>
      <c r="J35" s="59" t="n">
        <v>95</v>
      </c>
      <c r="K35" s="59" t="n">
        <v>84</v>
      </c>
      <c r="L35" s="59" t="n">
        <v>98</v>
      </c>
      <c r="M35" s="59" t="n">
        <v>92</v>
      </c>
      <c r="N35" s="59" t="n">
        <v>81</v>
      </c>
      <c r="O35" s="59" t="n">
        <v>72</v>
      </c>
      <c r="P35" s="59" t="n">
        <v>72</v>
      </c>
      <c r="Q35" s="59" t="n">
        <v>88</v>
      </c>
      <c r="R35" s="59" t="n">
        <v>93</v>
      </c>
      <c r="S35" s="60">
        <f>SUMPRODUCT($C8:$R8,C35:R35)</f>
        <v/>
      </c>
    </row>
    <row r="36" ht="15" customHeight="1" s="44">
      <c r="A36" s="61" t="n">
        <v>28</v>
      </c>
      <c r="B36" s="62" t="inlineStr">
        <is>
          <t>Операционный департамент</t>
        </is>
      </c>
      <c r="C36" s="63" t="n">
        <v>80</v>
      </c>
      <c r="D36" s="63" t="n">
        <v>71</v>
      </c>
      <c r="E36" s="63" t="n">
        <v>79</v>
      </c>
      <c r="F36" s="63" t="n">
        <v>90</v>
      </c>
      <c r="G36" s="63" t="n">
        <v>70</v>
      </c>
      <c r="H36" s="63" t="n">
        <v>74</v>
      </c>
      <c r="I36" s="63" t="n">
        <v>97</v>
      </c>
      <c r="J36" s="63" t="n">
        <v>64</v>
      </c>
      <c r="K36" s="63" t="n">
        <v>67</v>
      </c>
      <c r="L36" s="63" t="n">
        <v>76</v>
      </c>
      <c r="M36" s="63" t="n">
        <v>67</v>
      </c>
      <c r="N36" s="63" t="n">
        <v>70</v>
      </c>
      <c r="O36" s="63" t="n">
        <v>78</v>
      </c>
      <c r="P36" s="63" t="n">
        <v>74</v>
      </c>
      <c r="Q36" s="63" t="n">
        <v>80</v>
      </c>
      <c r="R36" s="63" t="n">
        <v>63</v>
      </c>
      <c r="S36" s="64">
        <f>SUMPRODUCT($C8:$R8,C36:R36)</f>
        <v/>
      </c>
    </row>
    <row r="37" ht="15" customHeight="1" s="44">
      <c r="A37" s="57" t="n">
        <v>29</v>
      </c>
      <c r="B37" s="58" t="inlineStr">
        <is>
          <t>Центр среднего бизнеса</t>
        </is>
      </c>
      <c r="C37" s="59" t="n">
        <v>64</v>
      </c>
      <c r="D37" s="59" t="n">
        <v>79</v>
      </c>
      <c r="E37" s="59" t="n">
        <v>86</v>
      </c>
      <c r="F37" s="59" t="n">
        <v>49</v>
      </c>
      <c r="G37" s="59" t="n">
        <v>83</v>
      </c>
      <c r="H37" s="59" t="n">
        <v>71</v>
      </c>
      <c r="I37" s="59" t="n">
        <v>67</v>
      </c>
      <c r="J37" s="59" t="n">
        <v>86</v>
      </c>
      <c r="K37" s="59" t="n">
        <v>60</v>
      </c>
      <c r="L37" s="59" t="n">
        <v>64</v>
      </c>
      <c r="M37" s="59" t="n">
        <v>84</v>
      </c>
      <c r="N37" s="59" t="n">
        <v>81</v>
      </c>
      <c r="O37" s="59" t="n">
        <v>70</v>
      </c>
      <c r="P37" s="59" t="n">
        <v>77</v>
      </c>
      <c r="Q37" s="59" t="n">
        <v>80</v>
      </c>
      <c r="R37" s="59" t="n">
        <v>84</v>
      </c>
      <c r="S37" s="60">
        <f>SUMPRODUCT($C8:$R8,C37:R37)</f>
        <v/>
      </c>
    </row>
    <row r="38" ht="15" customHeight="1" s="44">
      <c r="A38" s="61" t="n">
        <v>30</v>
      </c>
      <c r="B38" s="62" t="inlineStr">
        <is>
          <t>Департамент цифрового бизнеса</t>
        </is>
      </c>
      <c r="C38" s="63" t="n">
        <v>66</v>
      </c>
      <c r="D38" s="63" t="n">
        <v>74</v>
      </c>
      <c r="E38" s="63" t="n">
        <v>58</v>
      </c>
      <c r="F38" s="63" t="n">
        <v>70</v>
      </c>
      <c r="G38" s="63" t="n">
        <v>84</v>
      </c>
      <c r="H38" s="63" t="n">
        <v>73</v>
      </c>
      <c r="I38" s="63" t="n">
        <v>64</v>
      </c>
      <c r="J38" s="63" t="n">
        <v>76</v>
      </c>
      <c r="K38" s="63" t="n">
        <v>62</v>
      </c>
      <c r="L38" s="63" t="n">
        <v>82</v>
      </c>
      <c r="M38" s="63" t="n">
        <v>58</v>
      </c>
      <c r="N38" s="63" t="n">
        <v>73</v>
      </c>
      <c r="O38" s="63" t="n">
        <v>80</v>
      </c>
      <c r="P38" s="63" t="n">
        <v>58</v>
      </c>
      <c r="Q38" s="63" t="n">
        <v>83</v>
      </c>
      <c r="R38" s="63" t="n">
        <v>62</v>
      </c>
      <c r="S38" s="64">
        <f>SUMPRODUCT($C8:$R8,C38:R38)</f>
        <v/>
      </c>
    </row>
    <row r="39" ht="15" customHeight="1" s="44">
      <c r="A39" s="57" t="n">
        <v>31</v>
      </c>
      <c r="B39" s="58" t="inlineStr">
        <is>
          <t>Департамент искусственного интеллекта</t>
        </is>
      </c>
      <c r="C39" s="59" t="n">
        <v>61</v>
      </c>
      <c r="D39" s="59" t="n">
        <v>64</v>
      </c>
      <c r="E39" s="59" t="n">
        <v>67</v>
      </c>
      <c r="F39" s="59" t="n">
        <v>72</v>
      </c>
      <c r="G39" s="59" t="n">
        <v>68</v>
      </c>
      <c r="H39" s="59" t="n">
        <v>89</v>
      </c>
      <c r="I39" s="59" t="n">
        <v>65</v>
      </c>
      <c r="J39" s="59" t="n">
        <v>92</v>
      </c>
      <c r="K39" s="59" t="n">
        <v>71</v>
      </c>
      <c r="L39" s="59" t="n">
        <v>87</v>
      </c>
      <c r="M39" s="59" t="n">
        <v>73</v>
      </c>
      <c r="N39" s="59" t="n">
        <v>84</v>
      </c>
      <c r="O39" s="59" t="n">
        <v>56</v>
      </c>
      <c r="P39" s="59" t="n">
        <v>92</v>
      </c>
      <c r="Q39" s="59" t="n">
        <v>63</v>
      </c>
      <c r="R39" s="59" t="n">
        <v>57</v>
      </c>
      <c r="S39" s="60">
        <f>SUMPRODUCT($C8:$R8,C39:R39)</f>
        <v/>
      </c>
    </row>
    <row r="40" ht="15" customHeight="1" s="44">
      <c r="A40" s="61" t="n">
        <v>32</v>
      </c>
      <c r="B40" s="62" t="inlineStr">
        <is>
          <t>Центр взыскания</t>
        </is>
      </c>
      <c r="C40" s="63" t="n">
        <v>30</v>
      </c>
      <c r="D40" s="63" t="n">
        <v>38</v>
      </c>
      <c r="E40" s="63" t="n">
        <v>8</v>
      </c>
      <c r="F40" s="63" t="n">
        <v>1</v>
      </c>
      <c r="G40" s="63" t="n">
        <v>6</v>
      </c>
      <c r="H40" s="63" t="n">
        <v>5</v>
      </c>
      <c r="I40" s="63" t="n">
        <v>27</v>
      </c>
      <c r="J40" s="63" t="n">
        <v>23</v>
      </c>
      <c r="K40" s="63" t="n">
        <v>9</v>
      </c>
      <c r="L40" s="63" t="n">
        <v>28</v>
      </c>
      <c r="M40" s="63" t="n">
        <v>31</v>
      </c>
      <c r="N40" s="63" t="n">
        <v>7</v>
      </c>
      <c r="O40" s="63" t="n">
        <v>24</v>
      </c>
      <c r="P40" s="63" t="n">
        <v>30</v>
      </c>
      <c r="Q40" s="63" t="n">
        <v>5</v>
      </c>
      <c r="R40" s="63" t="n">
        <v>33</v>
      </c>
      <c r="S40" s="64">
        <f>SUMPRODUCT($C8:$R8,C40:R40)</f>
        <v/>
      </c>
    </row>
    <row r="41" ht="23.85" customHeight="1" s="44">
      <c r="A41" s="57" t="n">
        <v>33</v>
      </c>
      <c r="B41" s="58" t="inlineStr">
        <is>
          <t>Департамент международной финансовой отчетности и консалтинга</t>
        </is>
      </c>
      <c r="C41" s="59" t="n">
        <v>38</v>
      </c>
      <c r="D41" s="59" t="n">
        <v>35</v>
      </c>
      <c r="E41" s="59" t="n">
        <v>46</v>
      </c>
      <c r="F41" s="59" t="n">
        <v>61</v>
      </c>
      <c r="G41" s="59" t="n">
        <v>72</v>
      </c>
      <c r="H41" s="59" t="n">
        <v>50</v>
      </c>
      <c r="I41" s="59" t="n">
        <v>63</v>
      </c>
      <c r="J41" s="59" t="n">
        <v>37</v>
      </c>
      <c r="K41" s="59" t="n">
        <v>62</v>
      </c>
      <c r="L41" s="59" t="n">
        <v>59</v>
      </c>
      <c r="M41" s="59" t="n">
        <v>38</v>
      </c>
      <c r="N41" s="59" t="n">
        <v>65</v>
      </c>
      <c r="O41" s="59" t="n">
        <v>68</v>
      </c>
      <c r="P41" s="59" t="n">
        <v>58</v>
      </c>
      <c r="Q41" s="59" t="n">
        <v>39</v>
      </c>
      <c r="R41" s="59" t="n">
        <v>73</v>
      </c>
      <c r="S41" s="60">
        <f>SUMPRODUCT($C8:$R8,C41:R41)</f>
        <v/>
      </c>
    </row>
    <row r="42" ht="15" customHeight="1" s="44">
      <c r="A42" s="61" t="n">
        <v>34</v>
      </c>
      <c r="B42" s="62" t="inlineStr">
        <is>
          <t>Служба организации закупок</t>
        </is>
      </c>
      <c r="C42" s="63" t="n">
        <v>14</v>
      </c>
      <c r="D42" s="63" t="n">
        <v>17</v>
      </c>
      <c r="E42" s="63" t="n">
        <v>15</v>
      </c>
      <c r="F42" s="63" t="n">
        <v>20</v>
      </c>
      <c r="G42" s="63" t="n">
        <v>14</v>
      </c>
      <c r="H42" s="63" t="n">
        <v>34</v>
      </c>
      <c r="I42" s="63" t="n">
        <v>33</v>
      </c>
      <c r="J42" s="63" t="n">
        <v>4</v>
      </c>
      <c r="K42" s="63" t="n">
        <v>38</v>
      </c>
      <c r="L42" s="63" t="n">
        <v>25</v>
      </c>
      <c r="M42" s="63" t="n">
        <v>33</v>
      </c>
      <c r="N42" s="63" t="n">
        <v>28</v>
      </c>
      <c r="O42" s="63" t="n">
        <v>17</v>
      </c>
      <c r="P42" s="63" t="n">
        <v>29</v>
      </c>
      <c r="Q42" s="63" t="n">
        <v>39</v>
      </c>
      <c r="R42" s="63" t="n">
        <v>11</v>
      </c>
      <c r="S42" s="64">
        <f>SUMPRODUCT($C8:$R8,C42:R42)</f>
        <v/>
      </c>
    </row>
    <row r="43" ht="15" customHeight="1" s="44">
      <c r="A43" s="57" t="n">
        <v>35</v>
      </c>
      <c r="B43" s="58" t="inlineStr">
        <is>
          <t>Департамент сотрудников и организационного развития</t>
        </is>
      </c>
      <c r="C43" s="59" t="n">
        <v>94</v>
      </c>
      <c r="D43" s="59" t="n">
        <v>82</v>
      </c>
      <c r="E43" s="59" t="n">
        <v>96</v>
      </c>
      <c r="F43" s="59" t="n">
        <v>87</v>
      </c>
      <c r="G43" s="59" t="n">
        <v>76</v>
      </c>
      <c r="H43" s="59" t="n">
        <v>73</v>
      </c>
      <c r="I43" s="59" t="n">
        <v>100</v>
      </c>
      <c r="J43" s="59" t="n">
        <v>74</v>
      </c>
      <c r="K43" s="59" t="n">
        <v>81</v>
      </c>
      <c r="L43" s="59" t="n">
        <v>93</v>
      </c>
      <c r="M43" s="59" t="n">
        <v>86</v>
      </c>
      <c r="N43" s="59" t="n">
        <v>90</v>
      </c>
      <c r="O43" s="59" t="n">
        <v>76</v>
      </c>
      <c r="P43" s="59" t="n">
        <v>83</v>
      </c>
      <c r="Q43" s="59" t="n">
        <v>76</v>
      </c>
      <c r="R43" s="59" t="n">
        <v>83</v>
      </c>
      <c r="S43" s="60">
        <f>SUMPRODUCT($C8:$R8,C43:R43)</f>
        <v/>
      </c>
    </row>
    <row r="44" ht="15" customHeight="1" s="44">
      <c r="A44" s="61" t="n">
        <v>36</v>
      </c>
      <c r="B44" s="62" t="inlineStr">
        <is>
          <t>Служба итогового контроля</t>
        </is>
      </c>
      <c r="C44" s="63" t="n">
        <v>72</v>
      </c>
      <c r="D44" s="63" t="n">
        <v>54</v>
      </c>
      <c r="E44" s="63" t="n">
        <v>75</v>
      </c>
      <c r="F44" s="63" t="n">
        <v>68</v>
      </c>
      <c r="G44" s="63" t="n">
        <v>51</v>
      </c>
      <c r="H44" s="63" t="n">
        <v>40</v>
      </c>
      <c r="I44" s="63" t="n">
        <v>78</v>
      </c>
      <c r="J44" s="63" t="n">
        <v>43</v>
      </c>
      <c r="K44" s="63" t="n">
        <v>69</v>
      </c>
      <c r="L44" s="63" t="n">
        <v>60</v>
      </c>
      <c r="M44" s="63" t="n">
        <v>70</v>
      </c>
      <c r="N44" s="63" t="n">
        <v>68</v>
      </c>
      <c r="O44" s="63" t="n">
        <v>66</v>
      </c>
      <c r="P44" s="63" t="n">
        <v>60</v>
      </c>
      <c r="Q44" s="63" t="n">
        <v>72</v>
      </c>
      <c r="R44" s="63" t="n">
        <v>44</v>
      </c>
      <c r="S44" s="64">
        <f>SUMPRODUCT($C8:$R8,C44:R44)</f>
        <v/>
      </c>
    </row>
    <row r="45" ht="15" customHeight="1" s="44">
      <c r="A45" s="57" t="n">
        <v>37</v>
      </c>
      <c r="B45" s="58" t="inlineStr">
        <is>
          <t>Юридический департамент</t>
        </is>
      </c>
      <c r="C45" s="59" t="n">
        <v>39</v>
      </c>
      <c r="D45" s="59" t="n">
        <v>33</v>
      </c>
      <c r="E45" s="59" t="n">
        <v>50</v>
      </c>
      <c r="F45" s="59" t="n">
        <v>38</v>
      </c>
      <c r="G45" s="59" t="n">
        <v>45</v>
      </c>
      <c r="H45" s="59" t="n">
        <v>37</v>
      </c>
      <c r="I45" s="59" t="n">
        <v>63</v>
      </c>
      <c r="J45" s="59" t="n">
        <v>45</v>
      </c>
      <c r="K45" s="59" t="n">
        <v>37</v>
      </c>
      <c r="L45" s="59" t="n">
        <v>41</v>
      </c>
      <c r="M45" s="59" t="n">
        <v>35</v>
      </c>
      <c r="N45" s="59" t="n">
        <v>32</v>
      </c>
      <c r="O45" s="59" t="n">
        <v>52</v>
      </c>
      <c r="P45" s="59" t="n">
        <v>36</v>
      </c>
      <c r="Q45" s="59" t="n">
        <v>53</v>
      </c>
      <c r="R45" s="59" t="n">
        <v>61</v>
      </c>
      <c r="S45" s="60">
        <f>SUMPRODUCT($C8:$R8,C45:R45)</f>
        <v/>
      </c>
    </row>
    <row r="46" ht="15" customHeight="1" s="44">
      <c r="A46" s="61" t="n">
        <v>38</v>
      </c>
      <c r="B46" s="62" t="inlineStr">
        <is>
          <t>Контактный центр</t>
        </is>
      </c>
      <c r="C46" s="63" t="n">
        <v>26</v>
      </c>
      <c r="D46" s="63" t="n">
        <v>48</v>
      </c>
      <c r="E46" s="63" t="n">
        <v>29</v>
      </c>
      <c r="F46" s="63" t="n">
        <v>42</v>
      </c>
      <c r="G46" s="63" t="n">
        <v>48</v>
      </c>
      <c r="H46" s="63" t="n">
        <v>42</v>
      </c>
      <c r="I46" s="63" t="n">
        <v>57</v>
      </c>
      <c r="J46" s="63" t="n">
        <v>51</v>
      </c>
      <c r="K46" s="63" t="n">
        <v>30</v>
      </c>
      <c r="L46" s="63" t="n">
        <v>32</v>
      </c>
      <c r="M46" s="63" t="n">
        <v>30</v>
      </c>
      <c r="N46" s="63" t="n">
        <v>46</v>
      </c>
      <c r="O46" s="63" t="n">
        <v>23</v>
      </c>
      <c r="P46" s="63" t="n">
        <v>20</v>
      </c>
      <c r="Q46" s="63" t="n">
        <v>20</v>
      </c>
      <c r="R46" s="63" t="n">
        <v>30</v>
      </c>
      <c r="S46" s="64">
        <f>SUMPRODUCT($C8:$R8,C46:R46)</f>
        <v/>
      </c>
    </row>
    <row r="47" ht="15" customHeight="1" s="44">
      <c r="A47" s="57" t="n">
        <v>39</v>
      </c>
      <c r="B47" s="58" t="inlineStr">
        <is>
          <t>Служба активов и пассивов</t>
        </is>
      </c>
      <c r="C47" s="59" t="n">
        <v>37</v>
      </c>
      <c r="D47" s="59" t="n">
        <v>41</v>
      </c>
      <c r="E47" s="59" t="n">
        <v>15</v>
      </c>
      <c r="F47" s="59" t="n">
        <v>11</v>
      </c>
      <c r="G47" s="59" t="n">
        <v>22</v>
      </c>
      <c r="H47" s="59" t="n">
        <v>30</v>
      </c>
      <c r="I47" s="59" t="n">
        <v>25</v>
      </c>
      <c r="J47" s="59" t="n">
        <v>50</v>
      </c>
      <c r="K47" s="59" t="n">
        <v>21</v>
      </c>
      <c r="L47" s="59" t="n">
        <v>45</v>
      </c>
      <c r="M47" s="59" t="n">
        <v>16</v>
      </c>
      <c r="N47" s="59" t="n">
        <v>14</v>
      </c>
      <c r="O47" s="59" t="n">
        <v>31</v>
      </c>
      <c r="P47" s="59" t="n">
        <v>34</v>
      </c>
      <c r="Q47" s="59" t="n">
        <v>38</v>
      </c>
      <c r="R47" s="59" t="n">
        <v>17</v>
      </c>
      <c r="S47" s="60">
        <f>SUMPRODUCT($C8:$R8,C47:R47)</f>
        <v/>
      </c>
    </row>
    <row r="48" ht="15" customHeight="1" s="44">
      <c r="A48" s="61" t="n">
        <v>40</v>
      </c>
      <c r="B48" s="62" t="inlineStr">
        <is>
          <t>Корпоративное управление</t>
        </is>
      </c>
      <c r="C48" s="63" t="n">
        <v>36</v>
      </c>
      <c r="D48" s="63" t="n">
        <v>43</v>
      </c>
      <c r="E48" s="63" t="n">
        <v>55</v>
      </c>
      <c r="F48" s="63" t="n">
        <v>50</v>
      </c>
      <c r="G48" s="63" t="n">
        <v>57</v>
      </c>
      <c r="H48" s="63" t="n">
        <v>58</v>
      </c>
      <c r="I48" s="63" t="n">
        <v>64</v>
      </c>
      <c r="J48" s="63" t="n">
        <v>48</v>
      </c>
      <c r="K48" s="63" t="n">
        <v>69</v>
      </c>
      <c r="L48" s="63" t="n">
        <v>45</v>
      </c>
      <c r="M48" s="63" t="n">
        <v>57</v>
      </c>
      <c r="N48" s="63" t="n">
        <v>50</v>
      </c>
      <c r="O48" s="63" t="n">
        <v>56</v>
      </c>
      <c r="P48" s="63" t="n">
        <v>35</v>
      </c>
      <c r="Q48" s="63" t="n">
        <v>71</v>
      </c>
      <c r="R48" s="63" t="n">
        <v>37</v>
      </c>
      <c r="S48" s="64">
        <f>SUMPRODUCT($C8:$R8,C48:R48)</f>
        <v/>
      </c>
    </row>
    <row r="49" ht="15" customHeight="1" s="44">
      <c r="A49" s="65" t="n"/>
      <c r="B49" s="66" t="inlineStr">
        <is>
          <t>Средний AIM по Банку</t>
        </is>
      </c>
      <c r="C49" s="67">
        <f>IFERROR(AVERAGE(C9:C48),0)</f>
        <v/>
      </c>
      <c r="D49" s="67">
        <f>IFERROR(AVERAGE(D9:D48),0)</f>
        <v/>
      </c>
      <c r="E49" s="67">
        <f>IFERROR(AVERAGE(E9:E48),0)</f>
        <v/>
      </c>
      <c r="F49" s="67">
        <f>IFERROR(AVERAGE(F9:F48),0)</f>
        <v/>
      </c>
      <c r="G49" s="67">
        <f>IFERROR(AVERAGE(G9:G48),0)</f>
        <v/>
      </c>
      <c r="H49" s="67">
        <f>IFERROR(AVERAGE(H9:H48),0)</f>
        <v/>
      </c>
      <c r="I49" s="67">
        <f>IFERROR(AVERAGE(I9:I48),0)</f>
        <v/>
      </c>
      <c r="J49" s="67">
        <f>IFERROR(AVERAGE(J9:J48),0)</f>
        <v/>
      </c>
      <c r="K49" s="67">
        <f>IFERROR(AVERAGE(K9:K48),0)</f>
        <v/>
      </c>
      <c r="L49" s="67">
        <f>IFERROR(AVERAGE(L9:L48),0)</f>
        <v/>
      </c>
      <c r="M49" s="67">
        <f>IFERROR(AVERAGE(M9:M48),0)</f>
        <v/>
      </c>
      <c r="N49" s="67">
        <f>IFERROR(AVERAGE(N9:N48),0)</f>
        <v/>
      </c>
      <c r="O49" s="67">
        <f>IFERROR(AVERAGE(O9:O48),0)</f>
        <v/>
      </c>
      <c r="P49" s="67">
        <f>IFERROR(AVERAGE(P9:P48),0)</f>
        <v/>
      </c>
      <c r="Q49" s="67">
        <f>IFERROR(AVERAGE(Q9:Q48),0)</f>
        <v/>
      </c>
      <c r="R49" s="67">
        <f>IFERROR(AVERAGE(R9:R48),0)</f>
        <v/>
      </c>
      <c r="S49" s="68">
        <f>AVERAGE(S9:S48)</f>
        <v/>
      </c>
    </row>
  </sheetData>
  <mergeCells count="2">
    <mergeCell ref="B5:B8"/>
    <mergeCell ref="A5:A8"/>
  </mergeCells>
  <conditionalFormatting sqref="S9:S48">
    <cfRule type="colorScale" priority="2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S49"/>
  <sheetViews>
    <sheetView workbookViewId="0">
      <selection activeCell="A1" sqref="A1"/>
    </sheetView>
  </sheetViews>
  <sheetFormatPr baseColWidth="8" defaultColWidth="8.6796875" defaultRowHeight="15" zeroHeight="0" outlineLevelRow="0"/>
  <cols>
    <col width="4" customWidth="1" style="43" min="1" max="1"/>
    <col width="52" customWidth="1" style="43" min="2" max="2"/>
    <col width="6.51" customWidth="1" style="43" min="3" max="18"/>
    <col width="11" customWidth="1" style="43" min="19" max="19"/>
  </cols>
  <sheetData>
    <row r="1" ht="19.7" customHeight="1" s="44">
      <c r="A1" s="45" t="inlineStr">
        <is>
          <t>Индекс AI-зрелости подразделений (AIM Index) — SQB Банк</t>
        </is>
      </c>
    </row>
    <row r="2" ht="15" customHeight="1" s="44">
      <c r="A2" s="46" t="inlineStr">
        <is>
          <t>AIM = Σ (Wᵢ × Mᵢ),  где Wᵢ — вес метрики, Mᵢ — нормированное значение метрики (0–100).  Итоговый AIM ∈ [0; 100].</t>
        </is>
      </c>
    </row>
    <row r="3" ht="15" customHeight="1" s="44">
      <c r="A3" s="47" t="inlineStr">
        <is>
          <t>Заполните нормированные значения метрик (0–100) для каждого подразделения — итоговый индекс пересчитается автоматически.</t>
        </is>
      </c>
    </row>
    <row r="4" ht="15" customHeight="1" s="44">
      <c r="A4" s="48" t="inlineStr">
        <is>
          <t>Жёлтая строка — веса Wᵢ (сумма 100%); синие ячейки M1–M16 — поля ввода нормированных значений 0–100.</t>
        </is>
      </c>
    </row>
    <row r="5" ht="15" customHeight="1" s="44">
      <c r="A5" s="49" t="inlineStr">
        <is>
          <t>№</t>
        </is>
      </c>
      <c r="B5" s="49" t="inlineStr">
        <is>
          <t>Подразделение</t>
        </is>
      </c>
      <c r="C5" s="50" t="inlineStr">
        <is>
          <t>M1</t>
        </is>
      </c>
      <c r="D5" s="50" t="inlineStr">
        <is>
          <t>M2</t>
        </is>
      </c>
      <c r="E5" s="50" t="inlineStr">
        <is>
          <t>M3</t>
        </is>
      </c>
      <c r="F5" s="50" t="inlineStr">
        <is>
          <t>M4</t>
        </is>
      </c>
      <c r="G5" s="50" t="inlineStr">
        <is>
          <t>M5</t>
        </is>
      </c>
      <c r="H5" s="50" t="inlineStr">
        <is>
          <t>M6</t>
        </is>
      </c>
      <c r="I5" s="50" t="inlineStr">
        <is>
          <t>M7</t>
        </is>
      </c>
      <c r="J5" s="50" t="inlineStr">
        <is>
          <t>M8</t>
        </is>
      </c>
      <c r="K5" s="50" t="inlineStr">
        <is>
          <t>M9</t>
        </is>
      </c>
      <c r="L5" s="50" t="inlineStr">
        <is>
          <t>M10</t>
        </is>
      </c>
      <c r="M5" s="50" t="inlineStr">
        <is>
          <t>M11</t>
        </is>
      </c>
      <c r="N5" s="50" t="inlineStr">
        <is>
          <t>M12</t>
        </is>
      </c>
      <c r="O5" s="50" t="inlineStr">
        <is>
          <t>M13</t>
        </is>
      </c>
      <c r="P5" s="50" t="inlineStr">
        <is>
          <t>M14</t>
        </is>
      </c>
      <c r="Q5" s="50" t="inlineStr">
        <is>
          <t>M15</t>
        </is>
      </c>
      <c r="R5" s="50" t="inlineStr">
        <is>
          <t>M16</t>
        </is>
      </c>
      <c r="S5" s="51" t="inlineStr">
        <is>
          <t>AIM</t>
        </is>
      </c>
    </row>
    <row r="6" ht="120" customHeight="1" s="44">
      <c r="A6" s="52" t="n"/>
      <c r="B6" s="52" t="n"/>
      <c r="C6" s="53" t="inlineStr">
        <is>
          <t>Финансовый эффект от AI</t>
        </is>
      </c>
      <c r="D6" s="53" t="inlineStr">
        <is>
          <t>Использование Data Platform</t>
        </is>
      </c>
      <c r="E6" s="53" t="inlineStr">
        <is>
          <t>Использование среды исполнения моделей</t>
        </is>
      </c>
      <c r="F6" s="53" t="inlineStr">
        <is>
          <t>Процессы с AI в production</t>
        </is>
      </c>
      <c r="G6" s="53" t="inlineStr">
        <is>
          <t>Переиспользование AI-решений</t>
        </is>
      </c>
      <c r="H6" s="53" t="inlineStr">
        <is>
          <t>Использование Open Source библиотек</t>
        </is>
      </c>
      <c r="I6" s="53" t="inlineStr">
        <is>
          <t>Партнёрства с ВУЗами и НИИ</t>
        </is>
      </c>
      <c r="J6" s="53" t="inlineStr">
        <is>
          <t>Использование AI сотрудниками (AI Adoption)</t>
        </is>
      </c>
      <c r="K6" s="53" t="inlineStr">
        <is>
          <t>Доступность инфраструктуры</t>
        </is>
      </c>
      <c r="L6" s="53" t="inlineStr">
        <is>
          <t>Качество процесса внедрения AI</t>
        </is>
      </c>
      <c r="M6" s="53" t="inlineStr">
        <is>
          <t>Конверсия AI-инициатив</t>
        </is>
      </c>
      <c r="N6" s="53" t="inlineStr">
        <is>
          <t>Time-to-Market</t>
        </is>
      </c>
      <c r="O6" s="53" t="inlineStr">
        <is>
          <t>Исполнение плана AI-трансформации</t>
        </is>
      </c>
      <c r="P6" s="53" t="inlineStr">
        <is>
          <t>Вовлечённость менеджмента</t>
        </is>
      </c>
      <c r="Q6" s="53" t="inlineStr">
        <is>
          <t>AI Governance</t>
        </is>
      </c>
      <c r="R6" s="53" t="inlineStr">
        <is>
          <t>Популяризация AI и DS-функции</t>
        </is>
      </c>
      <c r="S6" s="51" t="inlineStr">
        <is>
          <t>Итоговый
индекс</t>
        </is>
      </c>
    </row>
    <row r="7" ht="37.3" customHeight="1" s="44">
      <c r="A7" s="52" t="n"/>
      <c r="B7" s="52" t="n"/>
      <c r="C7" s="54" t="inlineStr">
        <is>
          <t>Процессы</t>
        </is>
      </c>
      <c r="D7" s="54" t="inlineStr">
        <is>
          <t>Данные</t>
        </is>
      </c>
      <c r="E7" s="54" t="inlineStr">
        <is>
          <t>Инфраструктура</t>
        </is>
      </c>
      <c r="F7" s="54" t="inlineStr">
        <is>
          <t>Процессы</t>
        </is>
      </c>
      <c r="G7" s="54" t="inlineStr">
        <is>
          <t>Модели и инструменты</t>
        </is>
      </c>
      <c r="H7" s="54" t="inlineStr">
        <is>
          <t>Модели и инструменты</t>
        </is>
      </c>
      <c r="I7" s="54" t="inlineStr">
        <is>
          <t>Люди</t>
        </is>
      </c>
      <c r="J7" s="54" t="inlineStr">
        <is>
          <t>Процессы</t>
        </is>
      </c>
      <c r="K7" s="54" t="inlineStr">
        <is>
          <t>Инфраструктура</t>
        </is>
      </c>
      <c r="L7" s="54" t="inlineStr">
        <is>
          <t>Лидерство</t>
        </is>
      </c>
      <c r="M7" s="54" t="inlineStr">
        <is>
          <t>Мышление и культура</t>
        </is>
      </c>
      <c r="N7" s="54" t="inlineStr">
        <is>
          <t>Процессы</t>
        </is>
      </c>
      <c r="O7" s="54" t="inlineStr">
        <is>
          <t>Лидерство</t>
        </is>
      </c>
      <c r="P7" s="54" t="inlineStr">
        <is>
          <t>Лидерство</t>
        </is>
      </c>
      <c r="Q7" s="54" t="inlineStr">
        <is>
          <t>Данные</t>
        </is>
      </c>
      <c r="R7" s="54" t="inlineStr">
        <is>
          <t>Мышление и культура</t>
        </is>
      </c>
      <c r="S7" s="51" t="inlineStr">
        <is>
          <t>0–100</t>
        </is>
      </c>
    </row>
    <row r="8" ht="15" customHeight="1" s="44">
      <c r="A8" s="52" t="n"/>
      <c r="B8" s="52" t="n"/>
      <c r="C8" s="55" t="n">
        <v>0.15</v>
      </c>
      <c r="D8" s="55" t="n">
        <v>0.12</v>
      </c>
      <c r="E8" s="55" t="n">
        <v>0.1</v>
      </c>
      <c r="F8" s="55" t="n">
        <v>0.08</v>
      </c>
      <c r="G8" s="55" t="n">
        <v>0.08</v>
      </c>
      <c r="H8" s="55" t="n">
        <v>0.07000000000000001</v>
      </c>
      <c r="I8" s="55" t="n">
        <v>0.06</v>
      </c>
      <c r="J8" s="55" t="n">
        <v>0.06</v>
      </c>
      <c r="K8" s="55" t="n">
        <v>0.05</v>
      </c>
      <c r="L8" s="55" t="n">
        <v>0.04</v>
      </c>
      <c r="M8" s="55" t="n">
        <v>0.03</v>
      </c>
      <c r="N8" s="55" t="n">
        <v>0.03</v>
      </c>
      <c r="O8" s="55" t="n">
        <v>0.03</v>
      </c>
      <c r="P8" s="55" t="n">
        <v>0.03</v>
      </c>
      <c r="Q8" s="55" t="n">
        <v>0.05</v>
      </c>
      <c r="R8" s="55" t="n">
        <v>0.02</v>
      </c>
      <c r="S8" s="56" t="n">
        <v>1</v>
      </c>
    </row>
    <row r="9" ht="23.85" customHeight="1" s="44">
      <c r="A9" s="57" t="n">
        <v>1</v>
      </c>
      <c r="B9" s="58" t="inlineStr">
        <is>
          <t>Департамент координации финансирования агропромышленных кластеров</t>
        </is>
      </c>
      <c r="C9" s="59" t="n">
        <v>12</v>
      </c>
      <c r="D9" s="59" t="n">
        <v>7</v>
      </c>
      <c r="E9" s="59" t="n">
        <v>23</v>
      </c>
      <c r="F9" s="59" t="n">
        <v>49</v>
      </c>
      <c r="G9" s="59" t="n">
        <v>36</v>
      </c>
      <c r="H9" s="59" t="n">
        <v>35</v>
      </c>
      <c r="I9" s="59" t="n">
        <v>13</v>
      </c>
      <c r="J9" s="59" t="n">
        <v>11</v>
      </c>
      <c r="K9" s="59" t="n">
        <v>6</v>
      </c>
      <c r="L9" s="59" t="n">
        <v>15</v>
      </c>
      <c r="M9" s="59" t="n">
        <v>32</v>
      </c>
      <c r="N9" s="59" t="n">
        <v>2</v>
      </c>
      <c r="O9" s="59" t="n">
        <v>4</v>
      </c>
      <c r="P9" s="59" t="n">
        <v>32</v>
      </c>
      <c r="Q9" s="59" t="n">
        <v>28</v>
      </c>
      <c r="R9" s="59" t="n">
        <v>6</v>
      </c>
      <c r="S9" s="60">
        <f>SUMPRODUCT($C8:$R8,C9:R9)</f>
        <v/>
      </c>
    </row>
    <row r="10" ht="23.85" customHeight="1" s="44">
      <c r="A10" s="61" t="n">
        <v>2</v>
      </c>
      <c r="B10" s="62" t="inlineStr">
        <is>
          <t>Департамент финансовой поддержки населения и вовлечения в предпринимательство</t>
        </is>
      </c>
      <c r="C10" s="63" t="n">
        <v>48</v>
      </c>
      <c r="D10" s="63" t="n">
        <v>18</v>
      </c>
      <c r="E10" s="63" t="n">
        <v>71</v>
      </c>
      <c r="F10" s="63" t="n">
        <v>49</v>
      </c>
      <c r="G10" s="63" t="n">
        <v>41</v>
      </c>
      <c r="H10" s="63" t="n">
        <v>24</v>
      </c>
      <c r="I10" s="63" t="n">
        <v>66</v>
      </c>
      <c r="J10" s="63" t="n">
        <v>29</v>
      </c>
      <c r="K10" s="63" t="n">
        <v>38</v>
      </c>
      <c r="L10" s="63" t="n">
        <v>19</v>
      </c>
      <c r="M10" s="63" t="n">
        <v>66</v>
      </c>
      <c r="N10" s="63" t="n">
        <v>55</v>
      </c>
      <c r="O10" s="63" t="n">
        <v>49</v>
      </c>
      <c r="P10" s="63" t="n">
        <v>68</v>
      </c>
      <c r="Q10" s="63" t="n">
        <v>42</v>
      </c>
      <c r="R10" s="63" t="n">
        <v>78</v>
      </c>
      <c r="S10" s="64">
        <f>SUMPRODUCT($C8:$R8,C10:R10)</f>
        <v/>
      </c>
    </row>
    <row r="11" ht="15" customHeight="1" s="44">
      <c r="A11" s="57" t="n">
        <v>3</v>
      </c>
      <c r="B11" s="58" t="inlineStr">
        <is>
          <t>Департамент информационных технологий</t>
        </is>
      </c>
      <c r="C11" s="59" t="n">
        <v>37</v>
      </c>
      <c r="D11" s="59" t="n">
        <v>40</v>
      </c>
      <c r="E11" s="59" t="n">
        <v>75</v>
      </c>
      <c r="F11" s="59" t="n">
        <v>70</v>
      </c>
      <c r="G11" s="59" t="n">
        <v>67</v>
      </c>
      <c r="H11" s="59" t="n">
        <v>61</v>
      </c>
      <c r="I11" s="59" t="n">
        <v>51</v>
      </c>
      <c r="J11" s="59" t="n">
        <v>66</v>
      </c>
      <c r="K11" s="59" t="n">
        <v>73</v>
      </c>
      <c r="L11" s="59" t="n">
        <v>78</v>
      </c>
      <c r="M11" s="59" t="n">
        <v>78</v>
      </c>
      <c r="N11" s="59" t="n">
        <v>63</v>
      </c>
      <c r="O11" s="59" t="n">
        <v>62</v>
      </c>
      <c r="P11" s="59" t="n">
        <v>49</v>
      </c>
      <c r="Q11" s="59" t="n">
        <v>78</v>
      </c>
      <c r="R11" s="59" t="n">
        <v>41</v>
      </c>
      <c r="S11" s="60">
        <f>SUMPRODUCT($C8:$R8,C11:R11)</f>
        <v/>
      </c>
    </row>
    <row r="12" ht="15" customHeight="1" s="44">
      <c r="A12" s="61" t="n">
        <v>4</v>
      </c>
      <c r="B12" s="62" t="inlineStr">
        <is>
          <t>Центр защиты информации</t>
        </is>
      </c>
      <c r="C12" s="63" t="n">
        <v>39</v>
      </c>
      <c r="D12" s="63" t="n">
        <v>39</v>
      </c>
      <c r="E12" s="63" t="n">
        <v>69</v>
      </c>
      <c r="F12" s="63" t="n">
        <v>70</v>
      </c>
      <c r="G12" s="63" t="n">
        <v>50</v>
      </c>
      <c r="H12" s="63" t="n">
        <v>35</v>
      </c>
      <c r="I12" s="63" t="n">
        <v>79</v>
      </c>
      <c r="J12" s="63" t="n">
        <v>36</v>
      </c>
      <c r="K12" s="63" t="n">
        <v>57</v>
      </c>
      <c r="L12" s="63" t="n">
        <v>76</v>
      </c>
      <c r="M12" s="63" t="n">
        <v>53</v>
      </c>
      <c r="N12" s="63" t="n">
        <v>65</v>
      </c>
      <c r="O12" s="63" t="n">
        <v>66</v>
      </c>
      <c r="P12" s="63" t="n">
        <v>83</v>
      </c>
      <c r="Q12" s="63" t="n">
        <v>64</v>
      </c>
      <c r="R12" s="63" t="n">
        <v>48</v>
      </c>
      <c r="S12" s="64">
        <f>SUMPRODUCT($C8:$R8,C12:R12)</f>
        <v/>
      </c>
    </row>
    <row r="13" ht="15" customHeight="1" s="44">
      <c r="A13" s="57" t="n">
        <v>5</v>
      </c>
      <c r="B13" s="58" t="inlineStr">
        <is>
          <t>Департамент поддержки систем банковских карт</t>
        </is>
      </c>
      <c r="C13" s="59" t="n">
        <v>42</v>
      </c>
      <c r="D13" s="59" t="n">
        <v>18</v>
      </c>
      <c r="E13" s="59" t="n">
        <v>0</v>
      </c>
      <c r="F13" s="59" t="n">
        <v>47</v>
      </c>
      <c r="G13" s="59" t="n">
        <v>30</v>
      </c>
      <c r="H13" s="59" t="n">
        <v>23</v>
      </c>
      <c r="I13" s="59" t="n">
        <v>9</v>
      </c>
      <c r="J13" s="59" t="n">
        <v>18</v>
      </c>
      <c r="K13" s="59" t="n">
        <v>36</v>
      </c>
      <c r="L13" s="59" t="n">
        <v>35</v>
      </c>
      <c r="M13" s="59" t="n">
        <v>15</v>
      </c>
      <c r="N13" s="59" t="n">
        <v>4</v>
      </c>
      <c r="O13" s="59" t="n">
        <v>26</v>
      </c>
      <c r="P13" s="59" t="n">
        <v>28</v>
      </c>
      <c r="Q13" s="59" t="n">
        <v>16</v>
      </c>
      <c r="R13" s="59" t="n">
        <v>25</v>
      </c>
      <c r="S13" s="60">
        <f>SUMPRODUCT($C8:$R8,C13:R13)</f>
        <v/>
      </c>
    </row>
    <row r="14" ht="15" customHeight="1" s="44">
      <c r="A14" s="61" t="n">
        <v>6</v>
      </c>
      <c r="B14" s="62" t="inlineStr">
        <is>
          <t>Департамент координации деятельности банковских сетей</t>
        </is>
      </c>
      <c r="C14" s="63" t="n">
        <v>68</v>
      </c>
      <c r="D14" s="63" t="n">
        <v>89</v>
      </c>
      <c r="E14" s="63" t="n">
        <v>50</v>
      </c>
      <c r="F14" s="63" t="n">
        <v>71</v>
      </c>
      <c r="G14" s="63" t="n">
        <v>79</v>
      </c>
      <c r="H14" s="63" t="n">
        <v>65</v>
      </c>
      <c r="I14" s="63" t="n">
        <v>61</v>
      </c>
      <c r="J14" s="63" t="n">
        <v>47</v>
      </c>
      <c r="K14" s="63" t="n">
        <v>85</v>
      </c>
      <c r="L14" s="63" t="n">
        <v>74</v>
      </c>
      <c r="M14" s="63" t="n">
        <v>72</v>
      </c>
      <c r="N14" s="63" t="n">
        <v>62</v>
      </c>
      <c r="O14" s="63" t="n">
        <v>61</v>
      </c>
      <c r="P14" s="63" t="n">
        <v>48</v>
      </c>
      <c r="Q14" s="63" t="n">
        <v>70</v>
      </c>
      <c r="R14" s="63" t="n">
        <v>85</v>
      </c>
      <c r="S14" s="64">
        <f>SUMPRODUCT($C8:$R8,C14:R14)</f>
        <v/>
      </c>
    </row>
    <row r="15" ht="15" customHeight="1" s="44">
      <c r="A15" s="57" t="n">
        <v>7</v>
      </c>
      <c r="B15" s="58" t="inlineStr">
        <is>
          <t>Департамент стратегического развития Банка</t>
        </is>
      </c>
      <c r="C15" s="59" t="n">
        <v>40</v>
      </c>
      <c r="D15" s="59" t="n">
        <v>24</v>
      </c>
      <c r="E15" s="59" t="n">
        <v>10</v>
      </c>
      <c r="F15" s="59" t="n">
        <v>47</v>
      </c>
      <c r="G15" s="59" t="n">
        <v>6</v>
      </c>
      <c r="H15" s="59" t="n">
        <v>21</v>
      </c>
      <c r="I15" s="59" t="n">
        <v>21</v>
      </c>
      <c r="J15" s="59" t="n">
        <v>43</v>
      </c>
      <c r="K15" s="59" t="n">
        <v>31</v>
      </c>
      <c r="L15" s="59" t="n">
        <v>22</v>
      </c>
      <c r="M15" s="59" t="n">
        <v>18</v>
      </c>
      <c r="N15" s="59" t="n">
        <v>22</v>
      </c>
      <c r="O15" s="59" t="n">
        <v>57</v>
      </c>
      <c r="P15" s="59" t="n">
        <v>37</v>
      </c>
      <c r="Q15" s="59" t="n">
        <v>23</v>
      </c>
      <c r="R15" s="59" t="n">
        <v>28</v>
      </c>
      <c r="S15" s="60">
        <f>SUMPRODUCT($C8:$R8,C15:R15)</f>
        <v/>
      </c>
    </row>
    <row r="16" ht="15" customHeight="1" s="44">
      <c r="A16" s="61" t="n">
        <v>8</v>
      </c>
      <c r="B16" s="62" t="inlineStr">
        <is>
          <t>Департамент бухгалтерского учета и отчетности</t>
        </is>
      </c>
      <c r="C16" s="63" t="n">
        <v>29</v>
      </c>
      <c r="D16" s="63" t="n">
        <v>56</v>
      </c>
      <c r="E16" s="63" t="n">
        <v>31</v>
      </c>
      <c r="F16" s="63" t="n">
        <v>36</v>
      </c>
      <c r="G16" s="63" t="n">
        <v>37</v>
      </c>
      <c r="H16" s="63" t="n">
        <v>28</v>
      </c>
      <c r="I16" s="63" t="n">
        <v>37</v>
      </c>
      <c r="J16" s="63" t="n">
        <v>23</v>
      </c>
      <c r="K16" s="63" t="n">
        <v>67</v>
      </c>
      <c r="L16" s="63" t="n">
        <v>58</v>
      </c>
      <c r="M16" s="63" t="n">
        <v>55</v>
      </c>
      <c r="N16" s="63" t="n">
        <v>34</v>
      </c>
      <c r="O16" s="63" t="n">
        <v>25</v>
      </c>
      <c r="P16" s="63" t="n">
        <v>44</v>
      </c>
      <c r="Q16" s="63" t="n">
        <v>59</v>
      </c>
      <c r="R16" s="63" t="n">
        <v>20</v>
      </c>
      <c r="S16" s="64">
        <f>SUMPRODUCT($C8:$R8,C16:R16)</f>
        <v/>
      </c>
    </row>
    <row r="17" ht="15" customHeight="1" s="44">
      <c r="A17" s="57" t="n">
        <v>9</v>
      </c>
      <c r="B17" s="58" t="inlineStr">
        <is>
          <t>Департамент розничного бизнеса</t>
        </is>
      </c>
      <c r="C17" s="59" t="n">
        <v>100</v>
      </c>
      <c r="D17" s="59" t="n">
        <v>91</v>
      </c>
      <c r="E17" s="59" t="n">
        <v>79</v>
      </c>
      <c r="F17" s="59" t="n">
        <v>54</v>
      </c>
      <c r="G17" s="59" t="n">
        <v>77</v>
      </c>
      <c r="H17" s="59" t="n">
        <v>98</v>
      </c>
      <c r="I17" s="59" t="n">
        <v>49</v>
      </c>
      <c r="J17" s="59" t="n">
        <v>79</v>
      </c>
      <c r="K17" s="59" t="n">
        <v>84</v>
      </c>
      <c r="L17" s="59" t="n">
        <v>94</v>
      </c>
      <c r="M17" s="59" t="n">
        <v>100</v>
      </c>
      <c r="N17" s="59" t="n">
        <v>73</v>
      </c>
      <c r="O17" s="59" t="n">
        <v>76</v>
      </c>
      <c r="P17" s="59" t="n">
        <v>77</v>
      </c>
      <c r="Q17" s="59" t="n">
        <v>64</v>
      </c>
      <c r="R17" s="59" t="n">
        <v>75</v>
      </c>
      <c r="S17" s="60">
        <f>SUMPRODUCT($C8:$R8,C17:R17)</f>
        <v/>
      </c>
    </row>
    <row r="18" ht="15" customHeight="1" s="44">
      <c r="A18" s="61" t="n">
        <v>10</v>
      </c>
      <c r="B18" s="62" t="inlineStr">
        <is>
          <t>Департамент казначейства</t>
        </is>
      </c>
      <c r="C18" s="63" t="n">
        <v>49</v>
      </c>
      <c r="D18" s="63" t="n">
        <v>68</v>
      </c>
      <c r="E18" s="63" t="n">
        <v>46</v>
      </c>
      <c r="F18" s="63" t="n">
        <v>63</v>
      </c>
      <c r="G18" s="63" t="n">
        <v>59</v>
      </c>
      <c r="H18" s="63" t="n">
        <v>75</v>
      </c>
      <c r="I18" s="63" t="n">
        <v>40</v>
      </c>
      <c r="J18" s="63" t="n">
        <v>44</v>
      </c>
      <c r="K18" s="63" t="n">
        <v>46</v>
      </c>
      <c r="L18" s="63" t="n">
        <v>52</v>
      </c>
      <c r="M18" s="63" t="n">
        <v>39</v>
      </c>
      <c r="N18" s="63" t="n">
        <v>81</v>
      </c>
      <c r="O18" s="63" t="n">
        <v>74</v>
      </c>
      <c r="P18" s="63" t="n">
        <v>36</v>
      </c>
      <c r="Q18" s="63" t="n">
        <v>41</v>
      </c>
      <c r="R18" s="63" t="n">
        <v>59</v>
      </c>
      <c r="S18" s="64">
        <f>SUMPRODUCT($C8:$R8,C18:R18)</f>
        <v/>
      </c>
    </row>
    <row r="19" ht="15" customHeight="1" s="44">
      <c r="A19" s="57" t="n">
        <v>11</v>
      </c>
      <c r="B19" s="58" t="inlineStr">
        <is>
          <t>Департамент внутреннего аудита</t>
        </is>
      </c>
      <c r="C19" s="59" t="n">
        <v>56</v>
      </c>
      <c r="D19" s="59" t="n">
        <v>57</v>
      </c>
      <c r="E19" s="59" t="n">
        <v>49</v>
      </c>
      <c r="F19" s="59" t="n">
        <v>53</v>
      </c>
      <c r="G19" s="59" t="n">
        <v>27</v>
      </c>
      <c r="H19" s="59" t="n">
        <v>34</v>
      </c>
      <c r="I19" s="59" t="n">
        <v>44</v>
      </c>
      <c r="J19" s="59" t="n">
        <v>15</v>
      </c>
      <c r="K19" s="59" t="n">
        <v>56</v>
      </c>
      <c r="L19" s="59" t="n">
        <v>41</v>
      </c>
      <c r="M19" s="59" t="n">
        <v>33</v>
      </c>
      <c r="N19" s="59" t="n">
        <v>65</v>
      </c>
      <c r="O19" s="59" t="n">
        <v>20</v>
      </c>
      <c r="P19" s="59" t="n">
        <v>37</v>
      </c>
      <c r="Q19" s="59" t="n">
        <v>45</v>
      </c>
      <c r="R19" s="59" t="n">
        <v>16</v>
      </c>
      <c r="S19" s="60">
        <f>SUMPRODUCT($C8:$R8,C19:R19)</f>
        <v/>
      </c>
    </row>
    <row r="20" ht="15" customHeight="1" s="44">
      <c r="A20" s="61" t="n">
        <v>12</v>
      </c>
      <c r="B20" s="62" t="inlineStr">
        <is>
          <t>Департамент внутренней безопасности</t>
        </is>
      </c>
      <c r="C20" s="63" t="n">
        <v>74</v>
      </c>
      <c r="D20" s="63" t="n">
        <v>51</v>
      </c>
      <c r="E20" s="63" t="n">
        <v>45</v>
      </c>
      <c r="F20" s="63" t="n">
        <v>69</v>
      </c>
      <c r="G20" s="63" t="n">
        <v>34</v>
      </c>
      <c r="H20" s="63" t="n">
        <v>32</v>
      </c>
      <c r="I20" s="63" t="n">
        <v>58</v>
      </c>
      <c r="J20" s="63" t="n">
        <v>62</v>
      </c>
      <c r="K20" s="63" t="n">
        <v>33</v>
      </c>
      <c r="L20" s="63" t="n">
        <v>76</v>
      </c>
      <c r="M20" s="63" t="n">
        <v>70</v>
      </c>
      <c r="N20" s="63" t="n">
        <v>37</v>
      </c>
      <c r="O20" s="63" t="n">
        <v>74</v>
      </c>
      <c r="P20" s="63" t="n">
        <v>67</v>
      </c>
      <c r="Q20" s="63" t="n">
        <v>49</v>
      </c>
      <c r="R20" s="63" t="n">
        <v>54</v>
      </c>
      <c r="S20" s="64">
        <f>SUMPRODUCT($C8:$R8,C20:R20)</f>
        <v/>
      </c>
    </row>
    <row r="21" ht="15" customHeight="1" s="44">
      <c r="A21" s="57" t="n">
        <v>13</v>
      </c>
      <c r="B21" s="58" t="inlineStr">
        <is>
          <t>Департамент управления исполнением и анализа развития</t>
        </is>
      </c>
      <c r="C21" s="59" t="n">
        <v>38</v>
      </c>
      <c r="D21" s="59" t="n">
        <v>49</v>
      </c>
      <c r="E21" s="59" t="n">
        <v>37</v>
      </c>
      <c r="F21" s="59" t="n">
        <v>43</v>
      </c>
      <c r="G21" s="59" t="n">
        <v>19</v>
      </c>
      <c r="H21" s="59" t="n">
        <v>25</v>
      </c>
      <c r="I21" s="59" t="n">
        <v>73</v>
      </c>
      <c r="J21" s="59" t="n">
        <v>32</v>
      </c>
      <c r="K21" s="59" t="n">
        <v>64</v>
      </c>
      <c r="L21" s="59" t="n">
        <v>50</v>
      </c>
      <c r="M21" s="59" t="n">
        <v>43</v>
      </c>
      <c r="N21" s="59" t="n">
        <v>59</v>
      </c>
      <c r="O21" s="59" t="n">
        <v>61</v>
      </c>
      <c r="P21" s="59" t="n">
        <v>48</v>
      </c>
      <c r="Q21" s="59" t="n">
        <v>54</v>
      </c>
      <c r="R21" s="59" t="n">
        <v>26</v>
      </c>
      <c r="S21" s="60">
        <f>SUMPRODUCT($C8:$R8,C21:R21)</f>
        <v/>
      </c>
    </row>
    <row r="22" ht="15" customHeight="1" s="44">
      <c r="A22" s="61" t="n">
        <v>14</v>
      </c>
      <c r="B22" s="62" t="inlineStr">
        <is>
          <t>Департамент инвестиционного банкинга</t>
        </is>
      </c>
      <c r="C22" s="63" t="n">
        <v>34</v>
      </c>
      <c r="D22" s="63" t="n">
        <v>21</v>
      </c>
      <c r="E22" s="63" t="n">
        <v>50</v>
      </c>
      <c r="F22" s="63" t="n">
        <v>28</v>
      </c>
      <c r="G22" s="63" t="n">
        <v>53</v>
      </c>
      <c r="H22" s="63" t="n">
        <v>35</v>
      </c>
      <c r="I22" s="63" t="n">
        <v>50</v>
      </c>
      <c r="J22" s="63" t="n">
        <v>73</v>
      </c>
      <c r="K22" s="63" t="n">
        <v>51</v>
      </c>
      <c r="L22" s="63" t="n">
        <v>38</v>
      </c>
      <c r="M22" s="63" t="n">
        <v>56</v>
      </c>
      <c r="N22" s="63" t="n">
        <v>64</v>
      </c>
      <c r="O22" s="63" t="n">
        <v>30</v>
      </c>
      <c r="P22" s="63" t="n">
        <v>30</v>
      </c>
      <c r="Q22" s="63" t="n">
        <v>54</v>
      </c>
      <c r="R22" s="63" t="n">
        <v>57</v>
      </c>
      <c r="S22" s="64">
        <f>SUMPRODUCT($C8:$R8,C22:R22)</f>
        <v/>
      </c>
    </row>
    <row r="23" ht="15" customHeight="1" s="44">
      <c r="A23" s="57" t="n">
        <v>15</v>
      </c>
      <c r="B23" s="58" t="inlineStr">
        <is>
          <t>Департамент комплаенс-контроля</t>
        </is>
      </c>
      <c r="C23" s="59" t="n">
        <v>54</v>
      </c>
      <c r="D23" s="59" t="n">
        <v>20</v>
      </c>
      <c r="E23" s="59" t="n">
        <v>41</v>
      </c>
      <c r="F23" s="59" t="n">
        <v>56</v>
      </c>
      <c r="G23" s="59" t="n">
        <v>38</v>
      </c>
      <c r="H23" s="59" t="n">
        <v>32</v>
      </c>
      <c r="I23" s="59" t="n">
        <v>48</v>
      </c>
      <c r="J23" s="59" t="n">
        <v>41</v>
      </c>
      <c r="K23" s="59" t="n">
        <v>34</v>
      </c>
      <c r="L23" s="59" t="n">
        <v>29</v>
      </c>
      <c r="M23" s="59" t="n">
        <v>39</v>
      </c>
      <c r="N23" s="59" t="n">
        <v>41</v>
      </c>
      <c r="O23" s="59" t="n">
        <v>44</v>
      </c>
      <c r="P23" s="59" t="n">
        <v>68</v>
      </c>
      <c r="Q23" s="59" t="n">
        <v>53</v>
      </c>
      <c r="R23" s="59" t="n">
        <v>33</v>
      </c>
      <c r="S23" s="60">
        <f>SUMPRODUCT($C8:$R8,C23:R23)</f>
        <v/>
      </c>
    </row>
    <row r="24" ht="15" customHeight="1" s="44">
      <c r="A24" s="61" t="n">
        <v>16</v>
      </c>
      <c r="B24" s="62" t="inlineStr">
        <is>
          <t>Корпоративный центр</t>
        </is>
      </c>
      <c r="C24" s="63" t="n">
        <v>11</v>
      </c>
      <c r="D24" s="63" t="n">
        <v>21</v>
      </c>
      <c r="E24" s="63" t="n">
        <v>5</v>
      </c>
      <c r="F24" s="63" t="n">
        <v>32</v>
      </c>
      <c r="G24" s="63" t="n">
        <v>32</v>
      </c>
      <c r="H24" s="63" t="n">
        <v>35</v>
      </c>
      <c r="I24" s="63" t="n">
        <v>18</v>
      </c>
      <c r="J24" s="63" t="n">
        <v>24</v>
      </c>
      <c r="K24" s="63" t="n">
        <v>50</v>
      </c>
      <c r="L24" s="63" t="n">
        <v>39</v>
      </c>
      <c r="M24" s="63" t="n">
        <v>17</v>
      </c>
      <c r="N24" s="63" t="n">
        <v>58</v>
      </c>
      <c r="O24" s="63" t="n">
        <v>44</v>
      </c>
      <c r="P24" s="63" t="n">
        <v>0</v>
      </c>
      <c r="Q24" s="63" t="n">
        <v>43</v>
      </c>
      <c r="R24" s="63" t="n">
        <v>7</v>
      </c>
      <c r="S24" s="64">
        <f>SUMPRODUCT($C8:$R8,C24:R24)</f>
        <v/>
      </c>
    </row>
    <row r="25" ht="15" customHeight="1" s="44">
      <c r="A25" s="57" t="n">
        <v>17</v>
      </c>
      <c r="B25" s="58" t="inlineStr">
        <is>
          <t>Служба по борьбе с коррупцией</t>
        </is>
      </c>
      <c r="C25" s="59" t="n">
        <v>56</v>
      </c>
      <c r="D25" s="59" t="n">
        <v>19</v>
      </c>
      <c r="E25" s="59" t="n">
        <v>16</v>
      </c>
      <c r="F25" s="59" t="n">
        <v>16</v>
      </c>
      <c r="G25" s="59" t="n">
        <v>25</v>
      </c>
      <c r="H25" s="59" t="n">
        <v>28</v>
      </c>
      <c r="I25" s="59" t="n">
        <v>26</v>
      </c>
      <c r="J25" s="59" t="n">
        <v>29</v>
      </c>
      <c r="K25" s="59" t="n">
        <v>22</v>
      </c>
      <c r="L25" s="59" t="n">
        <v>26</v>
      </c>
      <c r="M25" s="59" t="n">
        <v>23</v>
      </c>
      <c r="N25" s="59" t="n">
        <v>21</v>
      </c>
      <c r="O25" s="59" t="n">
        <v>35</v>
      </c>
      <c r="P25" s="59" t="n">
        <v>47</v>
      </c>
      <c r="Q25" s="59" t="n">
        <v>0</v>
      </c>
      <c r="R25" s="59" t="n">
        <v>30</v>
      </c>
      <c r="S25" s="60">
        <f>SUMPRODUCT($C8:$R8,C25:R25)</f>
        <v/>
      </c>
    </row>
    <row r="26" ht="15" customHeight="1" s="44">
      <c r="A26" s="61" t="n">
        <v>18</v>
      </c>
      <c r="B26" s="62" t="inlineStr">
        <is>
          <t>Департамент мониторинга и контроля кредитов</t>
        </is>
      </c>
      <c r="C26" s="63" t="n">
        <v>29</v>
      </c>
      <c r="D26" s="63" t="n">
        <v>45</v>
      </c>
      <c r="E26" s="63" t="n">
        <v>38</v>
      </c>
      <c r="F26" s="63" t="n">
        <v>67</v>
      </c>
      <c r="G26" s="63" t="n">
        <v>43</v>
      </c>
      <c r="H26" s="63" t="n">
        <v>57</v>
      </c>
      <c r="I26" s="63" t="n">
        <v>52</v>
      </c>
      <c r="J26" s="63" t="n">
        <v>54</v>
      </c>
      <c r="K26" s="63" t="n">
        <v>27</v>
      </c>
      <c r="L26" s="63" t="n">
        <v>74</v>
      </c>
      <c r="M26" s="63" t="n">
        <v>53</v>
      </c>
      <c r="N26" s="63" t="n">
        <v>27</v>
      </c>
      <c r="O26" s="63" t="n">
        <v>24</v>
      </c>
      <c r="P26" s="63" t="n">
        <v>44</v>
      </c>
      <c r="Q26" s="63" t="n">
        <v>57</v>
      </c>
      <c r="R26" s="63" t="n">
        <v>52</v>
      </c>
      <c r="S26" s="64">
        <f>SUMPRODUCT($C8:$R8,C26:R26)</f>
        <v/>
      </c>
    </row>
    <row r="27" ht="15" customHeight="1" s="44">
      <c r="A27" s="57" t="n">
        <v>19</v>
      </c>
      <c r="B27" s="58" t="inlineStr">
        <is>
          <t>Департамент по работе с кредитной задолженностью</t>
        </is>
      </c>
      <c r="C27" s="59" t="n">
        <v>18</v>
      </c>
      <c r="D27" s="59" t="n">
        <v>22</v>
      </c>
      <c r="E27" s="59" t="n">
        <v>28</v>
      </c>
      <c r="F27" s="59" t="n">
        <v>19</v>
      </c>
      <c r="G27" s="59" t="n">
        <v>45</v>
      </c>
      <c r="H27" s="59" t="n">
        <v>10</v>
      </c>
      <c r="I27" s="59" t="n">
        <v>18</v>
      </c>
      <c r="J27" s="59" t="n">
        <v>15</v>
      </c>
      <c r="K27" s="59" t="n">
        <v>38</v>
      </c>
      <c r="L27" s="59" t="n">
        <v>38</v>
      </c>
      <c r="M27" s="59" t="n">
        <v>15</v>
      </c>
      <c r="N27" s="59" t="n">
        <v>27</v>
      </c>
      <c r="O27" s="59" t="n">
        <v>0</v>
      </c>
      <c r="P27" s="59" t="n">
        <v>44</v>
      </c>
      <c r="Q27" s="59" t="n">
        <v>42</v>
      </c>
      <c r="R27" s="59" t="n">
        <v>44</v>
      </c>
      <c r="S27" s="60">
        <f>SUMPRODUCT($C8:$R8,C27:R27)</f>
        <v/>
      </c>
    </row>
    <row r="28" ht="15" customHeight="1" s="44">
      <c r="A28" s="61" t="n">
        <v>20</v>
      </c>
      <c r="B28" s="62" t="inlineStr">
        <is>
          <t>Департамент одобрения кредитов</t>
        </is>
      </c>
      <c r="C28" s="63" t="n">
        <v>40</v>
      </c>
      <c r="D28" s="63" t="n">
        <v>29</v>
      </c>
      <c r="E28" s="63" t="n">
        <v>52</v>
      </c>
      <c r="F28" s="63" t="n">
        <v>41</v>
      </c>
      <c r="G28" s="63" t="n">
        <v>51</v>
      </c>
      <c r="H28" s="63" t="n">
        <v>46</v>
      </c>
      <c r="I28" s="63" t="n">
        <v>48</v>
      </c>
      <c r="J28" s="63" t="n">
        <v>47</v>
      </c>
      <c r="K28" s="63" t="n">
        <v>14</v>
      </c>
      <c r="L28" s="63" t="n">
        <v>35</v>
      </c>
      <c r="M28" s="63" t="n">
        <v>33</v>
      </c>
      <c r="N28" s="63" t="n">
        <v>61</v>
      </c>
      <c r="O28" s="63" t="n">
        <v>45</v>
      </c>
      <c r="P28" s="63" t="n">
        <v>13</v>
      </c>
      <c r="Q28" s="63" t="n">
        <v>60</v>
      </c>
      <c r="R28" s="63" t="n">
        <v>23</v>
      </c>
      <c r="S28" s="64">
        <f>SUMPRODUCT($C8:$R8,C28:R28)</f>
        <v/>
      </c>
    </row>
    <row r="29" ht="15" customHeight="1" s="44">
      <c r="A29" s="57" t="n">
        <v>21</v>
      </c>
      <c r="B29" s="58" t="inlineStr">
        <is>
          <t>Департамент кредитования</t>
        </is>
      </c>
      <c r="C29" s="59" t="n">
        <v>68</v>
      </c>
      <c r="D29" s="59" t="n">
        <v>67</v>
      </c>
      <c r="E29" s="59" t="n">
        <v>43</v>
      </c>
      <c r="F29" s="59" t="n">
        <v>62</v>
      </c>
      <c r="G29" s="59" t="n">
        <v>46</v>
      </c>
      <c r="H29" s="59" t="n">
        <v>32</v>
      </c>
      <c r="I29" s="59" t="n">
        <v>30</v>
      </c>
      <c r="J29" s="59" t="n">
        <v>53</v>
      </c>
      <c r="K29" s="59" t="n">
        <v>43</v>
      </c>
      <c r="L29" s="59" t="n">
        <v>61</v>
      </c>
      <c r="M29" s="59" t="n">
        <v>57</v>
      </c>
      <c r="N29" s="59" t="n">
        <v>77</v>
      </c>
      <c r="O29" s="59" t="n">
        <v>48</v>
      </c>
      <c r="P29" s="59" t="n">
        <v>20</v>
      </c>
      <c r="Q29" s="59" t="n">
        <v>80</v>
      </c>
      <c r="R29" s="59" t="n">
        <v>55</v>
      </c>
      <c r="S29" s="60">
        <f>SUMPRODUCT($C8:$R8,C29:R29)</f>
        <v/>
      </c>
    </row>
    <row r="30" ht="15" customHeight="1" s="44">
      <c r="A30" s="61" t="n">
        <v>22</v>
      </c>
      <c r="B30" s="62" t="inlineStr">
        <is>
          <t>Офис управления проектами</t>
        </is>
      </c>
      <c r="C30" s="63" t="n">
        <v>19</v>
      </c>
      <c r="D30" s="63" t="n">
        <v>54</v>
      </c>
      <c r="E30" s="63" t="n">
        <v>49</v>
      </c>
      <c r="F30" s="63" t="n">
        <v>58</v>
      </c>
      <c r="G30" s="63" t="n">
        <v>39</v>
      </c>
      <c r="H30" s="63" t="n">
        <v>55</v>
      </c>
      <c r="I30" s="63" t="n">
        <v>29</v>
      </c>
      <c r="J30" s="63" t="n">
        <v>57</v>
      </c>
      <c r="K30" s="63" t="n">
        <v>29</v>
      </c>
      <c r="L30" s="63" t="n">
        <v>18</v>
      </c>
      <c r="M30" s="63" t="n">
        <v>51</v>
      </c>
      <c r="N30" s="63" t="n">
        <v>49</v>
      </c>
      <c r="O30" s="63" t="n">
        <v>45</v>
      </c>
      <c r="P30" s="63" t="n">
        <v>63</v>
      </c>
      <c r="Q30" s="63" t="n">
        <v>70</v>
      </c>
      <c r="R30" s="63" t="n">
        <v>66</v>
      </c>
      <c r="S30" s="64">
        <f>SUMPRODUCT($C8:$R8,C30:R30)</f>
        <v/>
      </c>
    </row>
    <row r="31" ht="15" customHeight="1" s="44">
      <c r="A31" s="57" t="n">
        <v>23</v>
      </c>
      <c r="B31" s="58" t="inlineStr">
        <is>
          <t>Центр управления данными</t>
        </is>
      </c>
      <c r="C31" s="59" t="n">
        <v>30</v>
      </c>
      <c r="D31" s="59" t="n">
        <v>17</v>
      </c>
      <c r="E31" s="59" t="n">
        <v>52</v>
      </c>
      <c r="F31" s="59" t="n">
        <v>26</v>
      </c>
      <c r="G31" s="59" t="n">
        <v>19</v>
      </c>
      <c r="H31" s="59" t="n">
        <v>39</v>
      </c>
      <c r="I31" s="59" t="n">
        <v>55</v>
      </c>
      <c r="J31" s="59" t="n">
        <v>17</v>
      </c>
      <c r="K31" s="59" t="n">
        <v>40</v>
      </c>
      <c r="L31" s="59" t="n">
        <v>30</v>
      </c>
      <c r="M31" s="59" t="n">
        <v>30</v>
      </c>
      <c r="N31" s="59" t="n">
        <v>38</v>
      </c>
      <c r="O31" s="59" t="n">
        <v>23</v>
      </c>
      <c r="P31" s="59" t="n">
        <v>23</v>
      </c>
      <c r="Q31" s="59" t="n">
        <v>48</v>
      </c>
      <c r="R31" s="59" t="n">
        <v>59</v>
      </c>
      <c r="S31" s="60">
        <f>SUMPRODUCT($C8:$R8,C31:R31)</f>
        <v/>
      </c>
    </row>
    <row r="32" ht="15" customHeight="1" s="44">
      <c r="A32" s="61" t="n">
        <v>24</v>
      </c>
      <c r="B32" s="62" t="inlineStr">
        <is>
          <t>Департамент маркетинга</t>
        </is>
      </c>
      <c r="C32" s="63" t="n">
        <v>50</v>
      </c>
      <c r="D32" s="63" t="n">
        <v>25</v>
      </c>
      <c r="E32" s="63" t="n">
        <v>41</v>
      </c>
      <c r="F32" s="63" t="n">
        <v>12</v>
      </c>
      <c r="G32" s="63" t="n">
        <v>32</v>
      </c>
      <c r="H32" s="63" t="n">
        <v>30</v>
      </c>
      <c r="I32" s="63" t="n">
        <v>45</v>
      </c>
      <c r="J32" s="63" t="n">
        <v>32</v>
      </c>
      <c r="K32" s="63" t="n">
        <v>48</v>
      </c>
      <c r="L32" s="63" t="n">
        <v>24</v>
      </c>
      <c r="M32" s="63" t="n">
        <v>15</v>
      </c>
      <c r="N32" s="63" t="n">
        <v>40</v>
      </c>
      <c r="O32" s="63" t="n">
        <v>64</v>
      </c>
      <c r="P32" s="63" t="n">
        <v>41</v>
      </c>
      <c r="Q32" s="63" t="n">
        <v>17</v>
      </c>
      <c r="R32" s="63" t="n">
        <v>5</v>
      </c>
      <c r="S32" s="64">
        <f>SUMPRODUCT($C8:$R8,C32:R32)</f>
        <v/>
      </c>
    </row>
    <row r="33" ht="15" customHeight="1" s="44">
      <c r="A33" s="57" t="n">
        <v>25</v>
      </c>
      <c r="B33" s="58" t="inlineStr">
        <is>
          <t>Департамент микро- и малого бизнеса</t>
        </is>
      </c>
      <c r="C33" s="59" t="n">
        <v>93</v>
      </c>
      <c r="D33" s="59" t="n">
        <v>85</v>
      </c>
      <c r="E33" s="59" t="n">
        <v>64</v>
      </c>
      <c r="F33" s="59" t="n">
        <v>98</v>
      </c>
      <c r="G33" s="59" t="n">
        <v>59</v>
      </c>
      <c r="H33" s="59" t="n">
        <v>63</v>
      </c>
      <c r="I33" s="59" t="n">
        <v>84</v>
      </c>
      <c r="J33" s="59" t="n">
        <v>70</v>
      </c>
      <c r="K33" s="59" t="n">
        <v>72</v>
      </c>
      <c r="L33" s="59" t="n">
        <v>87</v>
      </c>
      <c r="M33" s="59" t="n">
        <v>82</v>
      </c>
      <c r="N33" s="59" t="n">
        <v>99</v>
      </c>
      <c r="O33" s="59" t="n">
        <v>71</v>
      </c>
      <c r="P33" s="59" t="n">
        <v>84</v>
      </c>
      <c r="Q33" s="59" t="n">
        <v>71</v>
      </c>
      <c r="R33" s="59" t="n">
        <v>95</v>
      </c>
      <c r="S33" s="60">
        <f>SUMPRODUCT($C8:$R8,C33:R33)</f>
        <v/>
      </c>
    </row>
    <row r="34" ht="23.85" customHeight="1" s="44">
      <c r="A34" s="61" t="n">
        <v>26</v>
      </c>
      <c r="B34" s="62" t="inlineStr">
        <is>
          <t>Департамент по работе с финансовыми институтами и инвесторами</t>
        </is>
      </c>
      <c r="C34" s="63" t="n">
        <v>57</v>
      </c>
      <c r="D34" s="63" t="n">
        <v>65</v>
      </c>
      <c r="E34" s="63" t="n">
        <v>63</v>
      </c>
      <c r="F34" s="63" t="n">
        <v>36</v>
      </c>
      <c r="G34" s="63" t="n">
        <v>60</v>
      </c>
      <c r="H34" s="63" t="n">
        <v>73</v>
      </c>
      <c r="I34" s="63" t="n">
        <v>59</v>
      </c>
      <c r="J34" s="63" t="n">
        <v>62</v>
      </c>
      <c r="K34" s="63" t="n">
        <v>53</v>
      </c>
      <c r="L34" s="63" t="n">
        <v>71</v>
      </c>
      <c r="M34" s="63" t="n">
        <v>62</v>
      </c>
      <c r="N34" s="63" t="n">
        <v>51</v>
      </c>
      <c r="O34" s="63" t="n">
        <v>59</v>
      </c>
      <c r="P34" s="63" t="n">
        <v>85</v>
      </c>
      <c r="Q34" s="63" t="n">
        <v>53</v>
      </c>
      <c r="R34" s="63" t="n">
        <v>67</v>
      </c>
      <c r="S34" s="64">
        <f>SUMPRODUCT($C8:$R8,C34:R34)</f>
        <v/>
      </c>
    </row>
    <row r="35" ht="15" customHeight="1" s="44">
      <c r="A35" s="57" t="n">
        <v>27</v>
      </c>
      <c r="B35" s="58" t="inlineStr">
        <is>
          <t>Центр финансового менеджмента</t>
        </is>
      </c>
      <c r="C35" s="59" t="n">
        <v>86</v>
      </c>
      <c r="D35" s="59" t="n">
        <v>87</v>
      </c>
      <c r="E35" s="59" t="n">
        <v>100</v>
      </c>
      <c r="F35" s="59" t="n">
        <v>86</v>
      </c>
      <c r="G35" s="59" t="n">
        <v>82</v>
      </c>
      <c r="H35" s="59" t="n">
        <v>100</v>
      </c>
      <c r="I35" s="59" t="n">
        <v>82</v>
      </c>
      <c r="J35" s="59" t="n">
        <v>89</v>
      </c>
      <c r="K35" s="59" t="n">
        <v>81</v>
      </c>
      <c r="L35" s="59" t="n">
        <v>83</v>
      </c>
      <c r="M35" s="59" t="n">
        <v>78</v>
      </c>
      <c r="N35" s="59" t="n">
        <v>75</v>
      </c>
      <c r="O35" s="59" t="n">
        <v>61</v>
      </c>
      <c r="P35" s="59" t="n">
        <v>57</v>
      </c>
      <c r="Q35" s="59" t="n">
        <v>79</v>
      </c>
      <c r="R35" s="59" t="n">
        <v>89</v>
      </c>
      <c r="S35" s="60">
        <f>SUMPRODUCT($C8:$R8,C35:R35)</f>
        <v/>
      </c>
    </row>
    <row r="36" ht="15" customHeight="1" s="44">
      <c r="A36" s="61" t="n">
        <v>28</v>
      </c>
      <c r="B36" s="62" t="inlineStr">
        <is>
          <t>Операционный департамент</t>
        </is>
      </c>
      <c r="C36" s="63" t="n">
        <v>69</v>
      </c>
      <c r="D36" s="63" t="n">
        <v>64</v>
      </c>
      <c r="E36" s="63" t="n">
        <v>73</v>
      </c>
      <c r="F36" s="63" t="n">
        <v>100</v>
      </c>
      <c r="G36" s="63" t="n">
        <v>80</v>
      </c>
      <c r="H36" s="63" t="n">
        <v>79</v>
      </c>
      <c r="I36" s="63" t="n">
        <v>82</v>
      </c>
      <c r="J36" s="63" t="n">
        <v>53</v>
      </c>
      <c r="K36" s="63" t="n">
        <v>54</v>
      </c>
      <c r="L36" s="63" t="n">
        <v>65</v>
      </c>
      <c r="M36" s="63" t="n">
        <v>74</v>
      </c>
      <c r="N36" s="63" t="n">
        <v>55</v>
      </c>
      <c r="O36" s="63" t="n">
        <v>67</v>
      </c>
      <c r="P36" s="63" t="n">
        <v>65</v>
      </c>
      <c r="Q36" s="63" t="n">
        <v>69</v>
      </c>
      <c r="R36" s="63" t="n">
        <v>63</v>
      </c>
      <c r="S36" s="64">
        <f>SUMPRODUCT($C8:$R8,C36:R36)</f>
        <v/>
      </c>
    </row>
    <row r="37" ht="15" customHeight="1" s="44">
      <c r="A37" s="57" t="n">
        <v>29</v>
      </c>
      <c r="B37" s="58" t="inlineStr">
        <is>
          <t>Центр среднего бизнеса</t>
        </is>
      </c>
      <c r="C37" s="59" t="n">
        <v>73</v>
      </c>
      <c r="D37" s="59" t="n">
        <v>83</v>
      </c>
      <c r="E37" s="59" t="n">
        <v>89</v>
      </c>
      <c r="F37" s="59" t="n">
        <v>38</v>
      </c>
      <c r="G37" s="59" t="n">
        <v>71</v>
      </c>
      <c r="H37" s="59" t="n">
        <v>73</v>
      </c>
      <c r="I37" s="59" t="n">
        <v>53</v>
      </c>
      <c r="J37" s="59" t="n">
        <v>77</v>
      </c>
      <c r="K37" s="59" t="n">
        <v>69</v>
      </c>
      <c r="L37" s="59" t="n">
        <v>70</v>
      </c>
      <c r="M37" s="59" t="n">
        <v>86</v>
      </c>
      <c r="N37" s="59" t="n">
        <v>70</v>
      </c>
      <c r="O37" s="59" t="n">
        <v>76</v>
      </c>
      <c r="P37" s="59" t="n">
        <v>65</v>
      </c>
      <c r="Q37" s="59" t="n">
        <v>67</v>
      </c>
      <c r="R37" s="59" t="n">
        <v>93</v>
      </c>
      <c r="S37" s="60">
        <f>SUMPRODUCT($C8:$R8,C37:R37)</f>
        <v/>
      </c>
    </row>
    <row r="38" ht="15" customHeight="1" s="44">
      <c r="A38" s="61" t="n">
        <v>30</v>
      </c>
      <c r="B38" s="62" t="inlineStr">
        <is>
          <t>Департамент цифрового бизнеса</t>
        </is>
      </c>
      <c r="C38" s="63" t="n">
        <v>61</v>
      </c>
      <c r="D38" s="63" t="n">
        <v>65</v>
      </c>
      <c r="E38" s="63" t="n">
        <v>63</v>
      </c>
      <c r="F38" s="63" t="n">
        <v>66</v>
      </c>
      <c r="G38" s="63" t="n">
        <v>73</v>
      </c>
      <c r="H38" s="63" t="n">
        <v>68</v>
      </c>
      <c r="I38" s="63" t="n">
        <v>67</v>
      </c>
      <c r="J38" s="63" t="n">
        <v>83</v>
      </c>
      <c r="K38" s="63" t="n">
        <v>60</v>
      </c>
      <c r="L38" s="63" t="n">
        <v>82</v>
      </c>
      <c r="M38" s="63" t="n">
        <v>50</v>
      </c>
      <c r="N38" s="63" t="n">
        <v>63</v>
      </c>
      <c r="O38" s="63" t="n">
        <v>75</v>
      </c>
      <c r="P38" s="63" t="n">
        <v>70</v>
      </c>
      <c r="Q38" s="63" t="n">
        <v>85</v>
      </c>
      <c r="R38" s="63" t="n">
        <v>53</v>
      </c>
      <c r="S38" s="64">
        <f>SUMPRODUCT($C8:$R8,C38:R38)</f>
        <v/>
      </c>
    </row>
    <row r="39" ht="15" customHeight="1" s="44">
      <c r="A39" s="57" t="n">
        <v>31</v>
      </c>
      <c r="B39" s="58" t="inlineStr">
        <is>
          <t>Департамент искусственного интеллекта</t>
        </is>
      </c>
      <c r="C39" s="59" t="n">
        <v>65</v>
      </c>
      <c r="D39" s="59" t="n">
        <v>56</v>
      </c>
      <c r="E39" s="59" t="n">
        <v>61</v>
      </c>
      <c r="F39" s="59" t="n">
        <v>74</v>
      </c>
      <c r="G39" s="59" t="n">
        <v>59</v>
      </c>
      <c r="H39" s="59" t="n">
        <v>83</v>
      </c>
      <c r="I39" s="59" t="n">
        <v>60</v>
      </c>
      <c r="J39" s="59" t="n">
        <v>100</v>
      </c>
      <c r="K39" s="59" t="n">
        <v>76</v>
      </c>
      <c r="L39" s="59" t="n">
        <v>77</v>
      </c>
      <c r="M39" s="59" t="n">
        <v>76</v>
      </c>
      <c r="N39" s="59" t="n">
        <v>83</v>
      </c>
      <c r="O39" s="59" t="n">
        <v>52</v>
      </c>
      <c r="P39" s="59" t="n">
        <v>90</v>
      </c>
      <c r="Q39" s="59" t="n">
        <v>49</v>
      </c>
      <c r="R39" s="59" t="n">
        <v>62</v>
      </c>
      <c r="S39" s="60">
        <f>SUMPRODUCT($C8:$R8,C39:R39)</f>
        <v/>
      </c>
    </row>
    <row r="40" ht="15" customHeight="1" s="44">
      <c r="A40" s="61" t="n">
        <v>32</v>
      </c>
      <c r="B40" s="62" t="inlineStr">
        <is>
          <t>Центр взыскания</t>
        </is>
      </c>
      <c r="C40" s="63" t="n">
        <v>20</v>
      </c>
      <c r="D40" s="63" t="n">
        <v>44</v>
      </c>
      <c r="E40" s="63" t="n">
        <v>0</v>
      </c>
      <c r="F40" s="63" t="n">
        <v>0</v>
      </c>
      <c r="G40" s="63" t="n">
        <v>11</v>
      </c>
      <c r="H40" s="63" t="n">
        <v>0</v>
      </c>
      <c r="I40" s="63" t="n">
        <v>36</v>
      </c>
      <c r="J40" s="63" t="n">
        <v>9</v>
      </c>
      <c r="K40" s="63" t="n">
        <v>20</v>
      </c>
      <c r="L40" s="63" t="n">
        <v>23</v>
      </c>
      <c r="M40" s="63" t="n">
        <v>25</v>
      </c>
      <c r="N40" s="63" t="n">
        <v>12</v>
      </c>
      <c r="O40" s="63" t="n">
        <v>13</v>
      </c>
      <c r="P40" s="63" t="n">
        <v>33</v>
      </c>
      <c r="Q40" s="63" t="n">
        <v>12</v>
      </c>
      <c r="R40" s="63" t="n">
        <v>35</v>
      </c>
      <c r="S40" s="64">
        <f>SUMPRODUCT($C8:$R8,C40:R40)</f>
        <v/>
      </c>
    </row>
    <row r="41" ht="23.85" customHeight="1" s="44">
      <c r="A41" s="57" t="n">
        <v>33</v>
      </c>
      <c r="B41" s="58" t="inlineStr">
        <is>
          <t>Департамент международной финансовой отчетности и консалтинга</t>
        </is>
      </c>
      <c r="C41" s="59" t="n">
        <v>29</v>
      </c>
      <c r="D41" s="59" t="n">
        <v>35</v>
      </c>
      <c r="E41" s="59" t="n">
        <v>47</v>
      </c>
      <c r="F41" s="59" t="n">
        <v>59</v>
      </c>
      <c r="G41" s="59" t="n">
        <v>71</v>
      </c>
      <c r="H41" s="59" t="n">
        <v>54</v>
      </c>
      <c r="I41" s="59" t="n">
        <v>68</v>
      </c>
      <c r="J41" s="59" t="n">
        <v>25</v>
      </c>
      <c r="K41" s="59" t="n">
        <v>59</v>
      </c>
      <c r="L41" s="59" t="n">
        <v>68</v>
      </c>
      <c r="M41" s="59" t="n">
        <v>49</v>
      </c>
      <c r="N41" s="59" t="n">
        <v>60</v>
      </c>
      <c r="O41" s="59" t="n">
        <v>67</v>
      </c>
      <c r="P41" s="59" t="n">
        <v>47</v>
      </c>
      <c r="Q41" s="59" t="n">
        <v>50</v>
      </c>
      <c r="R41" s="59" t="n">
        <v>61</v>
      </c>
      <c r="S41" s="60">
        <f>SUMPRODUCT($C8:$R8,C41:R41)</f>
        <v/>
      </c>
    </row>
    <row r="42" ht="15" customHeight="1" s="44">
      <c r="A42" s="61" t="n">
        <v>34</v>
      </c>
      <c r="B42" s="62" t="inlineStr">
        <is>
          <t>Служба организации закупок</t>
        </is>
      </c>
      <c r="C42" s="63" t="n">
        <v>10</v>
      </c>
      <c r="D42" s="63" t="n">
        <v>7</v>
      </c>
      <c r="E42" s="63" t="n">
        <v>25</v>
      </c>
      <c r="F42" s="63" t="n">
        <v>31</v>
      </c>
      <c r="G42" s="63" t="n">
        <v>2</v>
      </c>
      <c r="H42" s="63" t="n">
        <v>39</v>
      </c>
      <c r="I42" s="63" t="n">
        <v>38</v>
      </c>
      <c r="J42" s="63" t="n">
        <v>7</v>
      </c>
      <c r="K42" s="63" t="n">
        <v>33</v>
      </c>
      <c r="L42" s="63" t="n">
        <v>13</v>
      </c>
      <c r="M42" s="63" t="n">
        <v>36</v>
      </c>
      <c r="N42" s="63" t="n">
        <v>13</v>
      </c>
      <c r="O42" s="63" t="n">
        <v>22</v>
      </c>
      <c r="P42" s="63" t="n">
        <v>14</v>
      </c>
      <c r="Q42" s="63" t="n">
        <v>32</v>
      </c>
      <c r="R42" s="63" t="n">
        <v>0</v>
      </c>
      <c r="S42" s="64">
        <f>SUMPRODUCT($C8:$R8,C42:R42)</f>
        <v/>
      </c>
    </row>
    <row r="43" ht="15" customHeight="1" s="44">
      <c r="A43" s="57" t="n">
        <v>35</v>
      </c>
      <c r="B43" s="58" t="inlineStr">
        <is>
          <t>Департамент сотрудников и организационного развития</t>
        </is>
      </c>
      <c r="C43" s="59" t="n">
        <v>100</v>
      </c>
      <c r="D43" s="59" t="n">
        <v>94</v>
      </c>
      <c r="E43" s="59" t="n">
        <v>100</v>
      </c>
      <c r="F43" s="59" t="n">
        <v>81</v>
      </c>
      <c r="G43" s="59" t="n">
        <v>82</v>
      </c>
      <c r="H43" s="59" t="n">
        <v>81</v>
      </c>
      <c r="I43" s="59" t="n">
        <v>100</v>
      </c>
      <c r="J43" s="59" t="n">
        <v>80</v>
      </c>
      <c r="K43" s="59" t="n">
        <v>92</v>
      </c>
      <c r="L43" s="59" t="n">
        <v>87</v>
      </c>
      <c r="M43" s="59" t="n">
        <v>81</v>
      </c>
      <c r="N43" s="59" t="n">
        <v>79</v>
      </c>
      <c r="O43" s="59" t="n">
        <v>61</v>
      </c>
      <c r="P43" s="59" t="n">
        <v>82</v>
      </c>
      <c r="Q43" s="59" t="n">
        <v>77</v>
      </c>
      <c r="R43" s="59" t="n">
        <v>70</v>
      </c>
      <c r="S43" s="60">
        <f>SUMPRODUCT($C8:$R8,C43:R43)</f>
        <v/>
      </c>
    </row>
    <row r="44" ht="15" customHeight="1" s="44">
      <c r="A44" s="61" t="n">
        <v>36</v>
      </c>
      <c r="B44" s="62" t="inlineStr">
        <is>
          <t>Служба итогового контроля</t>
        </is>
      </c>
      <c r="C44" s="63" t="n">
        <v>80</v>
      </c>
      <c r="D44" s="63" t="n">
        <v>57</v>
      </c>
      <c r="E44" s="63" t="n">
        <v>66</v>
      </c>
      <c r="F44" s="63" t="n">
        <v>72</v>
      </c>
      <c r="G44" s="63" t="n">
        <v>37</v>
      </c>
      <c r="H44" s="63" t="n">
        <v>35</v>
      </c>
      <c r="I44" s="63" t="n">
        <v>83</v>
      </c>
      <c r="J44" s="63" t="n">
        <v>32</v>
      </c>
      <c r="K44" s="63" t="n">
        <v>71</v>
      </c>
      <c r="L44" s="63" t="n">
        <v>67</v>
      </c>
      <c r="M44" s="63" t="n">
        <v>71</v>
      </c>
      <c r="N44" s="63" t="n">
        <v>64</v>
      </c>
      <c r="O44" s="63" t="n">
        <v>72</v>
      </c>
      <c r="P44" s="63" t="n">
        <v>65</v>
      </c>
      <c r="Q44" s="63" t="n">
        <v>77</v>
      </c>
      <c r="R44" s="63" t="n">
        <v>39</v>
      </c>
      <c r="S44" s="64">
        <f>SUMPRODUCT($C8:$R8,C44:R44)</f>
        <v/>
      </c>
    </row>
    <row r="45" ht="15" customHeight="1" s="44">
      <c r="A45" s="57" t="n">
        <v>37</v>
      </c>
      <c r="B45" s="58" t="inlineStr">
        <is>
          <t>Юридический департамент</t>
        </is>
      </c>
      <c r="C45" s="59" t="n">
        <v>41</v>
      </c>
      <c r="D45" s="59" t="n">
        <v>26</v>
      </c>
      <c r="E45" s="59" t="n">
        <v>41</v>
      </c>
      <c r="F45" s="59" t="n">
        <v>42</v>
      </c>
      <c r="G45" s="59" t="n">
        <v>53</v>
      </c>
      <c r="H45" s="59" t="n">
        <v>25</v>
      </c>
      <c r="I45" s="59" t="n">
        <v>51</v>
      </c>
      <c r="J45" s="59" t="n">
        <v>44</v>
      </c>
      <c r="K45" s="59" t="n">
        <v>44</v>
      </c>
      <c r="L45" s="59" t="n">
        <v>31</v>
      </c>
      <c r="M45" s="59" t="n">
        <v>38</v>
      </c>
      <c r="N45" s="59" t="n">
        <v>18</v>
      </c>
      <c r="O45" s="59" t="n">
        <v>60</v>
      </c>
      <c r="P45" s="59" t="n">
        <v>37</v>
      </c>
      <c r="Q45" s="59" t="n">
        <v>47</v>
      </c>
      <c r="R45" s="59" t="n">
        <v>73</v>
      </c>
      <c r="S45" s="60">
        <f>SUMPRODUCT($C8:$R8,C45:R45)</f>
        <v/>
      </c>
    </row>
    <row r="46" ht="15" customHeight="1" s="44">
      <c r="A46" s="61" t="n">
        <v>38</v>
      </c>
      <c r="B46" s="62" t="inlineStr">
        <is>
          <t>Контактный центр</t>
        </is>
      </c>
      <c r="C46" s="63" t="n">
        <v>36</v>
      </c>
      <c r="D46" s="63" t="n">
        <v>53</v>
      </c>
      <c r="E46" s="63" t="n">
        <v>39</v>
      </c>
      <c r="F46" s="63" t="n">
        <v>30</v>
      </c>
      <c r="G46" s="63" t="n">
        <v>37</v>
      </c>
      <c r="H46" s="63" t="n">
        <v>49</v>
      </c>
      <c r="I46" s="63" t="n">
        <v>48</v>
      </c>
      <c r="J46" s="63" t="n">
        <v>46</v>
      </c>
      <c r="K46" s="63" t="n">
        <v>20</v>
      </c>
      <c r="L46" s="63" t="n">
        <v>40</v>
      </c>
      <c r="M46" s="63" t="n">
        <v>31</v>
      </c>
      <c r="N46" s="63" t="n">
        <v>44</v>
      </c>
      <c r="O46" s="63" t="n">
        <v>34</v>
      </c>
      <c r="P46" s="63" t="n">
        <v>10</v>
      </c>
      <c r="Q46" s="63" t="n">
        <v>17</v>
      </c>
      <c r="R46" s="63" t="n">
        <v>30</v>
      </c>
      <c r="S46" s="64">
        <f>SUMPRODUCT($C8:$R8,C46:R46)</f>
        <v/>
      </c>
    </row>
    <row r="47" ht="15" customHeight="1" s="44">
      <c r="A47" s="57" t="n">
        <v>39</v>
      </c>
      <c r="B47" s="58" t="inlineStr">
        <is>
          <t>Служба активов и пассивов</t>
        </is>
      </c>
      <c r="C47" s="59" t="n">
        <v>25</v>
      </c>
      <c r="D47" s="59" t="n">
        <v>35</v>
      </c>
      <c r="E47" s="59" t="n">
        <v>24</v>
      </c>
      <c r="F47" s="59" t="n">
        <v>20</v>
      </c>
      <c r="G47" s="59" t="n">
        <v>32</v>
      </c>
      <c r="H47" s="59" t="n">
        <v>21</v>
      </c>
      <c r="I47" s="59" t="n">
        <v>15</v>
      </c>
      <c r="J47" s="59" t="n">
        <v>41</v>
      </c>
      <c r="K47" s="59" t="n">
        <v>24</v>
      </c>
      <c r="L47" s="59" t="n">
        <v>50</v>
      </c>
      <c r="M47" s="59" t="n">
        <v>21</v>
      </c>
      <c r="N47" s="59" t="n">
        <v>0</v>
      </c>
      <c r="O47" s="59" t="n">
        <v>29</v>
      </c>
      <c r="P47" s="59" t="n">
        <v>20</v>
      </c>
      <c r="Q47" s="59" t="n">
        <v>45</v>
      </c>
      <c r="R47" s="59" t="n">
        <v>6</v>
      </c>
      <c r="S47" s="60">
        <f>SUMPRODUCT($C8:$R8,C47:R47)</f>
        <v/>
      </c>
    </row>
    <row r="48" ht="15" customHeight="1" s="44">
      <c r="A48" s="61" t="n">
        <v>40</v>
      </c>
      <c r="B48" s="62" t="inlineStr">
        <is>
          <t>Корпоративное управление</t>
        </is>
      </c>
      <c r="C48" s="63" t="n">
        <v>41</v>
      </c>
      <c r="D48" s="63" t="n">
        <v>37</v>
      </c>
      <c r="E48" s="63" t="n">
        <v>44</v>
      </c>
      <c r="F48" s="63" t="n">
        <v>38</v>
      </c>
      <c r="G48" s="63" t="n">
        <v>45</v>
      </c>
      <c r="H48" s="63" t="n">
        <v>56</v>
      </c>
      <c r="I48" s="63" t="n">
        <v>73</v>
      </c>
      <c r="J48" s="63" t="n">
        <v>48</v>
      </c>
      <c r="K48" s="63" t="n">
        <v>72</v>
      </c>
      <c r="L48" s="63" t="n">
        <v>43</v>
      </c>
      <c r="M48" s="63" t="n">
        <v>57</v>
      </c>
      <c r="N48" s="63" t="n">
        <v>51</v>
      </c>
      <c r="O48" s="63" t="n">
        <v>45</v>
      </c>
      <c r="P48" s="63" t="n">
        <v>45</v>
      </c>
      <c r="Q48" s="63" t="n">
        <v>65</v>
      </c>
      <c r="R48" s="63" t="n">
        <v>31</v>
      </c>
      <c r="S48" s="64">
        <f>SUMPRODUCT($C8:$R8,C48:R48)</f>
        <v/>
      </c>
    </row>
    <row r="49" ht="15" customHeight="1" s="44">
      <c r="A49" s="65" t="n"/>
      <c r="B49" s="66" t="inlineStr">
        <is>
          <t>Средний AIM по Банку</t>
        </is>
      </c>
      <c r="C49" s="67">
        <f>IFERROR(AVERAGE(C9:C48),0)</f>
        <v/>
      </c>
      <c r="D49" s="67">
        <f>IFERROR(AVERAGE(D9:D48),0)</f>
        <v/>
      </c>
      <c r="E49" s="67">
        <f>IFERROR(AVERAGE(E9:E48),0)</f>
        <v/>
      </c>
      <c r="F49" s="67">
        <f>IFERROR(AVERAGE(F9:F48),0)</f>
        <v/>
      </c>
      <c r="G49" s="67">
        <f>IFERROR(AVERAGE(G9:G48),0)</f>
        <v/>
      </c>
      <c r="H49" s="67">
        <f>IFERROR(AVERAGE(H9:H48),0)</f>
        <v/>
      </c>
      <c r="I49" s="67">
        <f>IFERROR(AVERAGE(I9:I48),0)</f>
        <v/>
      </c>
      <c r="J49" s="67">
        <f>IFERROR(AVERAGE(J9:J48),0)</f>
        <v/>
      </c>
      <c r="K49" s="67">
        <f>IFERROR(AVERAGE(K9:K48),0)</f>
        <v/>
      </c>
      <c r="L49" s="67">
        <f>IFERROR(AVERAGE(L9:L48),0)</f>
        <v/>
      </c>
      <c r="M49" s="67">
        <f>IFERROR(AVERAGE(M9:M48),0)</f>
        <v/>
      </c>
      <c r="N49" s="67">
        <f>IFERROR(AVERAGE(N9:N48),0)</f>
        <v/>
      </c>
      <c r="O49" s="67">
        <f>IFERROR(AVERAGE(O9:O48),0)</f>
        <v/>
      </c>
      <c r="P49" s="67">
        <f>IFERROR(AVERAGE(P9:P48),0)</f>
        <v/>
      </c>
      <c r="Q49" s="67">
        <f>IFERROR(AVERAGE(Q9:Q48),0)</f>
        <v/>
      </c>
      <c r="R49" s="67">
        <f>IFERROR(AVERAGE(R9:R48),0)</f>
        <v/>
      </c>
      <c r="S49" s="68">
        <f>AVERAGE(S9:S48)</f>
        <v/>
      </c>
    </row>
  </sheetData>
  <mergeCells count="2">
    <mergeCell ref="B5:B8"/>
    <mergeCell ref="A5:A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" customWidth="1" style="43" min="1" max="1"/>
    <col width="30" customWidth="1" style="43" min="2" max="2"/>
    <col width="18" customWidth="1" style="43" min="3" max="3"/>
    <col width="7" customWidth="1" style="43" min="4" max="4"/>
    <col width="52" customWidth="1" style="43" min="5" max="5"/>
    <col width="46" customWidth="1" style="43" min="6" max="6"/>
    <col width="38" customWidth="1" style="43" min="7" max="7"/>
    <col width="15" customWidth="1" style="43" min="8" max="8"/>
  </cols>
  <sheetData>
    <row r="1" ht="19.7" customHeight="1" s="44">
      <c r="A1" s="45" t="inlineStr">
        <is>
          <t>Методология расчёта индекса AI-зрелости (AIM Index)</t>
        </is>
      </c>
    </row>
    <row r="3" ht="45.75" customHeight="1" s="44">
      <c r="A3" s="69" t="inlineStr">
        <is>
          <t>Назначение. AIM Index — комплексный синтетический показатель степени зрелости подразделения в области AI на основе множества измеряемых метрик и их удельных весов. Используется для оценки уровня внедрения AI, мониторинга Стратегии AI-трансформации, выявления лидеров и подразделений, требующих поддержки, и принятия управленческих решений по развитию AI-компетенций, данных и инфраструктуры.</t>
        </is>
      </c>
    </row>
    <row r="4" ht="45.75" customHeight="1" s="44">
      <c r="A4" s="69" t="inlineStr">
        <is>
          <t>Формула. AIM = Σ (Wᵢ × Mᵢ), где Wᵢ — вес метрики, Mᵢ — нормированное значение метрики в диапазоне 0–100. Сумма весов = 100%. Итоговое значение AIM ∈ [0; 100].</t>
        </is>
      </c>
    </row>
    <row r="5" ht="45.75" customHeight="1" s="44">
      <c r="A5" s="69" t="inlineStr">
        <is>
          <t>Нормирование. Каждая метрика приводится к шкале 0–100. Для метрик с обратной логикой (например, Time-to-Market) используется обратная шкала: чем меньше исходное значение, тем выше балл.</t>
        </is>
      </c>
    </row>
    <row r="6" ht="45.75" customHeight="1" s="44">
      <c r="A6" s="69" t="inlineStr">
        <is>
          <t>Периодичность. Расчёт выполняется ежемесячно, не позднее 10-го рабочего дня месяца, следующего за отчётным. Ответственный за расчёт — Департамент управления проектами (PMO).</t>
        </is>
      </c>
    </row>
    <row r="7" ht="45.75" customHeight="1" s="44">
      <c r="A7" s="69" t="inlineStr">
        <is>
          <t>Участники. Департамент ИТ; Центр управления данными; Департамент развития и управления ИИ; Департамент HR; Департамент финансового менеджмента; Операционный департамент; руководители подразделений; AI-лидеры.</t>
        </is>
      </c>
    </row>
    <row r="9" ht="15" customHeight="1" s="44">
      <c r="A9" s="50" t="inlineStr">
        <is>
          <t>№</t>
        </is>
      </c>
      <c r="B9" s="50" t="inlineStr">
        <is>
          <t>Метрика</t>
        </is>
      </c>
      <c r="C9" s="50" t="inlineStr">
        <is>
          <t>Драйвер</t>
        </is>
      </c>
      <c r="D9" s="50" t="inlineStr">
        <is>
          <t>Вес</t>
        </is>
      </c>
      <c r="E9" s="50" t="inlineStr">
        <is>
          <t>Методика расчёта</t>
        </is>
      </c>
      <c r="F9" s="50" t="inlineStr">
        <is>
          <t>Источник данных</t>
        </is>
      </c>
      <c r="G9" s="50" t="inlineStr">
        <is>
          <t>Ответственный</t>
        </is>
      </c>
      <c r="H9" s="50" t="inlineStr">
        <is>
          <t>Тип</t>
        </is>
      </c>
    </row>
    <row r="10" ht="54" customHeight="1" s="44">
      <c r="A10" s="70" t="inlineStr">
        <is>
          <t>M1</t>
        </is>
      </c>
      <c r="B10" s="71" t="inlineStr">
        <is>
          <t>Финансовый эффект от AI</t>
        </is>
      </c>
      <c r="C10" s="72" t="inlineStr">
        <is>
          <t>Процессы</t>
        </is>
      </c>
      <c r="D10" s="73" t="n">
        <v>0.15</v>
      </c>
      <c r="E10" s="71" t="inlineStr">
        <is>
          <t>Финансовый эффект AI / Общий финансовый результат подразделения × 100%</t>
        </is>
      </c>
      <c r="F10" s="71" t="inlineStr">
        <is>
          <t>Корп. база знаний; фин. модели кейсов; отчёты владельцев процессов; подтверждение фин. блока</t>
        </is>
      </c>
      <c r="G10" s="71" t="inlineStr">
        <is>
          <t>Владелец бизнес-процесса</t>
        </is>
      </c>
      <c r="H10" s="72" t="inlineStr">
        <is>
          <t>Количественный</t>
        </is>
      </c>
    </row>
    <row r="11" ht="54" customHeight="1" s="44">
      <c r="A11" s="74" t="inlineStr">
        <is>
          <t>M2</t>
        </is>
      </c>
      <c r="B11" s="75" t="inlineStr">
        <is>
          <t>Использование Data Platform</t>
        </is>
      </c>
      <c r="C11" s="76" t="inlineStr">
        <is>
          <t>Данные</t>
        </is>
      </c>
      <c r="D11" s="73" t="n">
        <v>0.12</v>
      </c>
      <c r="E11" s="75" t="inlineStr">
        <is>
          <t>Кол-во моделей в production на Data Platform / Общее кол-во моделей подразделения в production</t>
        </is>
      </c>
      <c r="F11" s="75" t="inlineStr">
        <is>
          <t>Корп. база знаний; реестр AI-моделей; Data Platform</t>
        </is>
      </c>
      <c r="G11" s="75" t="inlineStr">
        <is>
          <t>Центр управления данными</t>
        </is>
      </c>
      <c r="H11" s="76" t="inlineStr">
        <is>
          <t>Количественный</t>
        </is>
      </c>
    </row>
    <row r="12" ht="54" customHeight="1" s="44">
      <c r="A12" s="70" t="inlineStr">
        <is>
          <t>M3</t>
        </is>
      </c>
      <c r="B12" s="71" t="inlineStr">
        <is>
          <t>Использование среды исполнения моделей</t>
        </is>
      </c>
      <c r="C12" s="72" t="inlineStr">
        <is>
          <t>Инфраструктура</t>
        </is>
      </c>
      <c r="D12" s="73" t="n">
        <v>0.1</v>
      </c>
      <c r="E12" s="71" t="inlineStr">
        <is>
          <t>Кол-во моделей через корпоративную среду исполнения / Общее кол-во продуктивных моделей</t>
        </is>
      </c>
      <c r="F12" s="71" t="inlineStr">
        <is>
          <t>MLOps Platform; корп. база знаний; реестр продуктивных моделей</t>
        </is>
      </c>
      <c r="G12" s="71" t="inlineStr">
        <is>
          <t>Департамент информационных технологий</t>
        </is>
      </c>
      <c r="H12" s="72" t="inlineStr">
        <is>
          <t>Количественный</t>
        </is>
      </c>
    </row>
    <row r="13" ht="54" customHeight="1" s="44">
      <c r="A13" s="74" t="inlineStr">
        <is>
          <t>M4</t>
        </is>
      </c>
      <c r="B13" s="75" t="inlineStr">
        <is>
          <t>Процессы с AI в production</t>
        </is>
      </c>
      <c r="C13" s="76" t="inlineStr">
        <is>
          <t>Процессы</t>
        </is>
      </c>
      <c r="D13" s="73" t="n">
        <v>0.08</v>
      </c>
      <c r="E13" s="75" t="inlineStr">
        <is>
          <t>Кол-во процессов с AI в продуктиве / Общее кол-во процессов подразделения</t>
        </is>
      </c>
      <c r="F13" s="75" t="inlineStr">
        <is>
          <t>Каталог процессов; реестр AI-решений</t>
        </is>
      </c>
      <c r="G13" s="75" t="inlineStr">
        <is>
          <t>Руководители оцениваемых подразделений</t>
        </is>
      </c>
      <c r="H13" s="76" t="inlineStr">
        <is>
          <t>Количественный</t>
        </is>
      </c>
    </row>
    <row r="14" ht="54" customHeight="1" s="44">
      <c r="A14" s="70" t="inlineStr">
        <is>
          <t>M5</t>
        </is>
      </c>
      <c r="B14" s="71" t="inlineStr">
        <is>
          <t>Переиспользование AI-решений</t>
        </is>
      </c>
      <c r="C14" s="72" t="inlineStr">
        <is>
          <t>Модели и инструменты</t>
        </is>
      </c>
      <c r="D14" s="73" t="n">
        <v>0.08</v>
      </c>
      <c r="E14" s="71" t="inlineStr">
        <is>
          <t>Кол-во AI-процессов на ранее созданных корп. решениях / Общее кол-во AI-процессов</t>
        </is>
      </c>
      <c r="F14" s="71" t="inlineStr">
        <is>
          <t>База знаний инструментов и моделей; репозиторий моделей</t>
        </is>
      </c>
      <c r="G14" s="71" t="inlineStr">
        <is>
          <t>Владелец бизнес-процесса</t>
        </is>
      </c>
      <c r="H14" s="72" t="inlineStr">
        <is>
          <t>Количественный</t>
        </is>
      </c>
    </row>
    <row r="15" ht="54" customHeight="1" s="44">
      <c r="A15" s="74" t="inlineStr">
        <is>
          <t>M6</t>
        </is>
      </c>
      <c r="B15" s="75" t="inlineStr">
        <is>
          <t>Использование Open Source библиотек</t>
        </is>
      </c>
      <c r="C15" s="76" t="inlineStr">
        <is>
          <t>Модели и инструменты</t>
        </is>
      </c>
      <c r="D15" s="73" t="n">
        <v>0.07000000000000001</v>
      </c>
      <c r="E15" s="75" t="inlineStr">
        <is>
          <t>1 − (Затребованные, но не предоставленные за 3 дня библиотеки / Кол-во библиотек в репозитории)</t>
        </is>
      </c>
      <c r="F15" s="75" t="inlineStr">
        <is>
          <t>Корп. база знаний; репозиторий библиотек; заявки пользователей</t>
        </is>
      </c>
      <c r="G15" s="75" t="inlineStr">
        <is>
          <t>Департамент развития и управления ИИ</t>
        </is>
      </c>
      <c r="H15" s="76" t="inlineStr">
        <is>
          <t>Количественный</t>
        </is>
      </c>
    </row>
    <row r="16" ht="54" customHeight="1" s="44">
      <c r="A16" s="70" t="inlineStr">
        <is>
          <t>M7</t>
        </is>
      </c>
      <c r="B16" s="71" t="inlineStr">
        <is>
          <t>Партнёрства с ВУЗами и НИИ</t>
        </is>
      </c>
      <c r="C16" s="72" t="inlineStr">
        <is>
          <t>Люди</t>
        </is>
      </c>
      <c r="D16" s="73" t="n">
        <v>0.06</v>
      </c>
      <c r="E16" s="71" t="inlineStr">
        <is>
          <t>Кол-во привлечённых специалистов/аспирантов/исследователей / Среднесписочная численность подразделения</t>
        </is>
      </c>
      <c r="F16" s="71" t="inlineStr">
        <is>
          <t>Статистика найма</t>
        </is>
      </c>
      <c r="G16" s="71" t="inlineStr">
        <is>
          <t>Руководители подразделений; Департамент развития и управления ИИ</t>
        </is>
      </c>
      <c r="H16" s="72" t="inlineStr">
        <is>
          <t>Количественный</t>
        </is>
      </c>
    </row>
    <row r="17" ht="54" customHeight="1" s="44">
      <c r="A17" s="74" t="inlineStr">
        <is>
          <t>M8</t>
        </is>
      </c>
      <c r="B17" s="75" t="inlineStr">
        <is>
          <t>Использование AI сотрудниками (AI Adoption)</t>
        </is>
      </c>
      <c r="C17" s="76" t="inlineStr">
        <is>
          <t>Процессы</t>
        </is>
      </c>
      <c r="D17" s="73" t="n">
        <v>0.06</v>
      </c>
      <c r="E17" s="75" t="inlineStr">
        <is>
          <t>Кол-во сотрудников, использующих AI ≥1 раза в день / Среднесписочная численность подразделения</t>
        </is>
      </c>
      <c r="F17" s="75" t="inlineStr">
        <is>
          <t>Реестр процессов; корп. база знаний; корпоративные AI-сервисы</t>
        </is>
      </c>
      <c r="G17" s="75" t="inlineStr">
        <is>
          <t>Руководители оцениваемых подразделений</t>
        </is>
      </c>
      <c r="H17" s="76" t="inlineStr">
        <is>
          <t>Количественный</t>
        </is>
      </c>
    </row>
    <row r="18" ht="54" customHeight="1" s="44">
      <c r="A18" s="70" t="inlineStr">
        <is>
          <t>M9</t>
        </is>
      </c>
      <c r="B18" s="71" t="inlineStr">
        <is>
          <t>Доступность инфраструктуры</t>
        </is>
      </c>
      <c r="C18" s="72" t="inlineStr">
        <is>
          <t>Инфраструктура</t>
        </is>
      </c>
      <c r="D18" s="73" t="n">
        <v>0.05</v>
      </c>
      <c r="E18" s="71" t="inlineStr">
        <is>
          <t>Интегральная оценка: время получения вычислит. ресурсов × время выдачи доступов × % удовлетворённых заявок (норм. 0–100)</t>
        </is>
      </c>
      <c r="F18" s="71" t="inlineStr">
        <is>
          <t>Service Desk; платформа SQB.Infra</t>
        </is>
      </c>
      <c r="G18" s="71" t="inlineStr">
        <is>
          <t>Департамент информационных технологий</t>
        </is>
      </c>
      <c r="H18" s="72" t="inlineStr">
        <is>
          <t>Количественный</t>
        </is>
      </c>
    </row>
    <row r="19" ht="54" customHeight="1" s="44">
      <c r="A19" s="74" t="inlineStr">
        <is>
          <t>M10</t>
        </is>
      </c>
      <c r="B19" s="75" t="inlineStr">
        <is>
          <t>Качество процесса внедрения AI</t>
        </is>
      </c>
      <c r="C19" s="76" t="inlineStr">
        <is>
          <t>Лидерство</t>
        </is>
      </c>
      <c r="D19" s="73" t="n">
        <v>0.04</v>
      </c>
      <c r="E19" s="75" t="inlineStr">
        <is>
          <t>Соблюдение сроков/спринтов, выполнение этапов, отсутствие критич. дефектов, полнота документации</t>
        </is>
      </c>
      <c r="F19" s="75" t="inlineStr">
        <is>
          <t>Jira; Confluence; Git; корп. база знаний</t>
        </is>
      </c>
      <c r="G19" s="75" t="inlineStr">
        <is>
          <t>Руководители оцениваемых подразделений</t>
        </is>
      </c>
      <c r="H19" s="76" t="inlineStr">
        <is>
          <t>Качественный</t>
        </is>
      </c>
    </row>
    <row r="20" ht="54" customHeight="1" s="44">
      <c r="A20" s="70" t="inlineStr">
        <is>
          <t>M11</t>
        </is>
      </c>
      <c r="B20" s="71" t="inlineStr">
        <is>
          <t>Конверсия AI-инициатив</t>
        </is>
      </c>
      <c r="C20" s="72" t="inlineStr">
        <is>
          <t>Мышление и культура</t>
        </is>
      </c>
      <c r="D20" s="73" t="n">
        <v>0.03</v>
      </c>
      <c r="E20" s="71" t="inlineStr">
        <is>
          <t>Кол-во инициатив, прошедших пилот и утверждение / Кол-во зарегистрированных инициатив</t>
        </is>
      </c>
      <c r="F20" s="71" t="inlineStr">
        <is>
          <t>Корп. база знаний; реестр инициатив; результаты защиты кейсов</t>
        </is>
      </c>
      <c r="G20" s="71" t="inlineStr">
        <is>
          <t>Руководители оцениваемых подразделений</t>
        </is>
      </c>
      <c r="H20" s="72" t="inlineStr">
        <is>
          <t>Количественный</t>
        </is>
      </c>
    </row>
    <row r="21" ht="54" customHeight="1" s="44">
      <c r="A21" s="74" t="inlineStr">
        <is>
          <t>M12</t>
        </is>
      </c>
      <c r="B21" s="75" t="inlineStr">
        <is>
          <t>Time-to-Market</t>
        </is>
      </c>
      <c r="C21" s="76" t="inlineStr">
        <is>
          <t>Процессы</t>
        </is>
      </c>
      <c r="D21" s="73" t="n">
        <v>0.03</v>
      </c>
      <c r="E21" s="75" t="inlineStr">
        <is>
          <t>Среднее кол-во дней от утверждения пилота до промышл. запуска (обратная шкала: меньше — выше балл)</t>
        </is>
      </c>
      <c r="F21" s="75" t="inlineStr">
        <is>
          <t>Jira; корп. база знаний; реестр инициатив</t>
        </is>
      </c>
      <c r="G21" s="75" t="inlineStr">
        <is>
          <t>Руководители оцениваемых подразделений</t>
        </is>
      </c>
      <c r="H21" s="76" t="inlineStr">
        <is>
          <t>Количественный</t>
        </is>
      </c>
    </row>
    <row r="22" ht="54" customHeight="1" s="44">
      <c r="A22" s="70" t="inlineStr">
        <is>
          <t>M13</t>
        </is>
      </c>
      <c r="B22" s="71" t="inlineStr">
        <is>
          <t>Исполнение плана AI-трансформации</t>
        </is>
      </c>
      <c r="C22" s="72" t="inlineStr">
        <is>
          <t>Лидерство</t>
        </is>
      </c>
      <c r="D22" s="73" t="n">
        <v>0.03</v>
      </c>
      <c r="E22" s="71" t="inlineStr">
        <is>
          <t>Дни на выполненные мероприятия × кол-во просроченных заданий / Дни на запланированные мероприятия</t>
        </is>
      </c>
      <c r="F22" s="71" t="inlineStr">
        <is>
          <t>Корп. база знаний; дорожная карта AIT</t>
        </is>
      </c>
      <c r="G22" s="71" t="inlineStr">
        <is>
          <t>В соответствии с дорожной картой</t>
        </is>
      </c>
      <c r="H22" s="72" t="inlineStr">
        <is>
          <t>Количественный</t>
        </is>
      </c>
    </row>
    <row r="23" ht="54" customHeight="1" s="44">
      <c r="A23" s="74" t="inlineStr">
        <is>
          <t>M14</t>
        </is>
      </c>
      <c r="B23" s="75" t="inlineStr">
        <is>
          <t>Вовлечённость менеджмента</t>
        </is>
      </c>
      <c r="C23" s="76" t="inlineStr">
        <is>
          <t>Лидерство</t>
        </is>
      </c>
      <c r="D23" s="73" t="n">
        <v>0.03</v>
      </c>
      <c r="E23" s="75" t="inlineStr">
        <is>
          <t>Чек-лист: обучение, участие в AI-комитете и мероприятиях, AI KPI, AI-инициативы, спонсорство, спикерство, публикации (0–20 баллов/критерий)</t>
        </is>
      </c>
      <c r="F23" s="75" t="inlineStr">
        <is>
          <t>Корп. база знаний; реестр обучения; платформа «Основа»; публикации</t>
        </is>
      </c>
      <c r="G23" s="75" t="inlineStr">
        <is>
          <t>Руководители оцениваемых подразделений</t>
        </is>
      </c>
      <c r="H23" s="76" t="inlineStr">
        <is>
          <t>Качественный</t>
        </is>
      </c>
    </row>
    <row r="24" ht="54" customHeight="1" s="44">
      <c r="A24" s="70" t="inlineStr">
        <is>
          <t>M15</t>
        </is>
      </c>
      <c r="B24" s="71" t="inlineStr">
        <is>
          <t>AI Governance</t>
        </is>
      </c>
      <c r="C24" s="72" t="inlineStr">
        <is>
          <t>Данные</t>
        </is>
      </c>
      <c r="D24" s="73" t="n">
        <v>0.05</v>
      </c>
      <c r="E24" s="71" t="inlineStr">
        <is>
          <t>Кол-во AI-решений с формализованной оценкой риска / Общее кол-во AI-решений</t>
        </is>
      </c>
      <c r="F24" s="71" t="inlineStr">
        <is>
          <t>Корп. база знаний; реестр моделей; Model Risk Management</t>
        </is>
      </c>
      <c r="G24" s="71" t="inlineStr">
        <is>
          <t>Блок «Риски»</t>
        </is>
      </c>
      <c r="H24" s="72" t="inlineStr">
        <is>
          <t>Количественный</t>
        </is>
      </c>
    </row>
    <row r="25" ht="54" customHeight="1" s="44">
      <c r="A25" s="74" t="inlineStr">
        <is>
          <t>M16</t>
        </is>
      </c>
      <c r="B25" s="75" t="inlineStr">
        <is>
          <t>Популяризация AI и DS-функции</t>
        </is>
      </c>
      <c r="C25" s="76" t="inlineStr">
        <is>
          <t>Мышление и культура</t>
        </is>
      </c>
      <c r="D25" s="73" t="n">
        <v>0.02</v>
      </c>
      <c r="E25" s="75" t="inlineStr">
        <is>
          <t>Чек-лист: публикации, выступления, обучение коллег, участие в сообществах, практикумы</t>
        </is>
      </c>
      <c r="F25" s="75" t="inlineStr">
        <is>
          <t>Корп. база знаний; внутренние мероприятия</t>
        </is>
      </c>
      <c r="G25" s="75" t="inlineStr">
        <is>
          <t>Департамент развития и управления ИИ</t>
        </is>
      </c>
      <c r="H25" s="76" t="inlineStr">
        <is>
          <t>Качественный</t>
        </is>
      </c>
    </row>
    <row r="26" ht="15" customHeight="1" s="44">
      <c r="A26" s="65" t="n"/>
      <c r="B26" s="66" t="inlineStr">
        <is>
          <t>ИТОГО</t>
        </is>
      </c>
      <c r="C26" s="65" t="n"/>
      <c r="D26" s="77">
        <f>SUM(D10:D25)</f>
        <v/>
      </c>
      <c r="E26" s="65" t="n"/>
      <c r="F26" s="65" t="n"/>
      <c r="G26" s="65" t="n"/>
      <c r="H26" s="65" t="n"/>
    </row>
    <row r="28" ht="60" customHeight="1" s="44">
      <c r="A28" s="78" t="inlineStr">
        <is>
          <t>Примечание. Веса приведены по формальному документу «Методология расчёта индекса AI-зрелости». В презентации «Яков и Партнёры» по ряду метрик веса отличаются (Партнёрства с ВУЗами — 7%, Конверсия инициатив — 4%, AI Governance — 3%); обе версии в сумме дают 100%. При расхождении приоритет — за формальной методологией; при необходимости веса легко изменить в строке весов на листе «AIM Index».</t>
        </is>
      </c>
    </row>
  </sheetData>
  <mergeCells count="6">
    <mergeCell ref="A4:H4"/>
    <mergeCell ref="A3:H3"/>
    <mergeCell ref="A7:H7"/>
    <mergeCell ref="A28:H28"/>
    <mergeCell ref="A5:H5"/>
    <mergeCell ref="A6:H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1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43" min="1" max="1"/>
    <col width="104" customWidth="1" style="43" min="2" max="2"/>
    <col width="86" customWidth="1" style="43" min="3" max="3"/>
  </cols>
  <sheetData>
    <row r="1" ht="19.7" customHeight="1" s="44">
      <c r="A1" s="45" t="inlineStr">
        <is>
          <t>Порядок расчёта и публикации AIM Index</t>
        </is>
      </c>
    </row>
    <row r="3" ht="15" customHeight="1" s="44">
      <c r="A3" s="79" t="inlineStr">
        <is>
          <t>Этап</t>
        </is>
      </c>
      <c r="B3" s="79" t="inlineStr">
        <is>
          <t>Срок</t>
        </is>
      </c>
      <c r="C3" s="79" t="inlineStr">
        <is>
          <t>Содержание</t>
        </is>
      </c>
    </row>
    <row r="4" ht="60" customHeight="1" s="44">
      <c r="A4" s="80" t="inlineStr">
        <is>
          <t>Этап 1. Сбор данных</t>
        </is>
      </c>
      <c r="B4" s="72" t="inlineStr">
        <is>
          <t>1–4 рабочий день</t>
        </is>
      </c>
      <c r="C4" s="71" t="inlineStr">
        <is>
          <t>Выгрузка данных из корпоративных систем, реестра AI-решений и реестра AI-инициатив; обобщение сведений о финансовом эффекте; агрегация данных по обучению и вовлечённости сотрудников.</t>
        </is>
      </c>
    </row>
    <row r="5" ht="60" customHeight="1" s="44">
      <c r="A5" s="81" t="inlineStr">
        <is>
          <t>Этап 2. Расчёт</t>
        </is>
      </c>
      <c r="B5" s="76" t="inlineStr">
        <is>
          <t>5–6 день</t>
        </is>
      </c>
      <c r="C5" s="75" t="inlineStr">
        <is>
          <t>Проверка полноты данных, расчёт всех первичных показателей, нормирование значений и формирование предварительного AIM Index.</t>
        </is>
      </c>
    </row>
    <row r="6" ht="60" customHeight="1" s="44">
      <c r="A6" s="80" t="inlineStr">
        <is>
          <t>Этап 3. Верификация</t>
        </is>
      </c>
      <c r="B6" s="72" t="inlineStr">
        <is>
          <t>7–8 день</t>
        </is>
      </c>
      <c r="C6" s="71" t="inlineStr">
        <is>
          <t>Подразделения вправе инициировать пересчёт, предоставив уточняющие данные. Без объективных данных показатели не пересматриваются. После верификации изменения — только при технической ошибке. Департамент развития и управления ИИ готовит рекомендации и отбирает знаковые кейсы.</t>
        </is>
      </c>
    </row>
    <row r="7" ht="60" customHeight="1" s="44">
      <c r="A7" s="81" t="inlineStr">
        <is>
          <t>Этап 4. Утверждение и публикация</t>
        </is>
      </c>
      <c r="B7" s="76" t="inlineStr">
        <is>
          <t>после верификации</t>
        </is>
      </c>
      <c r="C7" s="75" t="inlineStr">
        <is>
          <t>Результаты публикуются на портале AI-трансформации и в дэшборде.</t>
        </is>
      </c>
    </row>
    <row r="10" ht="15" customHeight="1" s="44">
      <c r="A10" s="82" t="inlineStr">
        <is>
          <t>Состав публикуемых сведений</t>
        </is>
      </c>
    </row>
    <row r="11" ht="15" customHeight="1" s="44">
      <c r="A11" s="83" t="inlineStr">
        <is>
          <t>Аудитория</t>
        </is>
      </c>
      <c r="B11" s="83" t="inlineStr">
        <is>
          <t>Публикуемые сведения</t>
        </is>
      </c>
    </row>
    <row r="12" ht="48" customHeight="1" s="44">
      <c r="A12" s="84" t="inlineStr">
        <is>
          <t>Для Правления и Комитета по AI-трансформации</t>
        </is>
      </c>
      <c r="B12" s="85" t="inlineStr">
        <is>
          <t>Общий AIM Index Банка; динамика за 12 месяцев; рейтинг бизнес-блоков; рейтинг поддерживающих подразделений; ключевые драйверы роста/снижения; статус исполнения Стратегии AI-трансформации.</t>
        </is>
      </c>
    </row>
    <row r="13" ht="48" customHeight="1" s="44">
      <c r="A13" s="86" t="inlineStr">
        <is>
          <t>Для руководителей подразделений</t>
        </is>
      </c>
      <c r="B13" s="87" t="inlineStr">
        <is>
          <t>Значение AIM подразделения; место в рейтинге; значения всех метрик; отклонения от целевых значений; рекомендации по улучшению.</t>
        </is>
      </c>
    </row>
    <row r="14" ht="48" customHeight="1" s="44">
      <c r="A14" s="84" t="inlineStr">
        <is>
          <t>Для сотрудников Банка</t>
        </is>
      </c>
      <c r="B14" s="85" t="inlineStr">
        <is>
          <t>Общий индекс Банка; лучшие практики лидеров; реализованные AI-кейсы; достижения в области AI-трансформации.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2026-06-17T10:13:22Z</dcterms:created>
  <dcterms:modified xsi:type="dcterms:W3CDTF">2026-06-26T04:24:06Z</dcterms:modified>
  <cp:revision>0</cp:revision>
</cp:coreProperties>
</file>